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dy Odhiambo\Downloads\Projects\innovasure\LuxDevHQ\Week 1 Assignment\"/>
    </mc:Choice>
  </mc:AlternateContent>
  <xr:revisionPtr revIDLastSave="0" documentId="13_ncr:9_{C3B56399-A01E-4A84-8C20-F1BC52A6EEB3}" xr6:coauthVersionLast="47" xr6:coauthVersionMax="47" xr10:uidLastSave="{00000000-0000-0000-0000-000000000000}"/>
  <bookViews>
    <workbookView xWindow="-120" yWindow="-120" windowWidth="29040" windowHeight="16440" activeTab="1" xr2:uid="{F2637FAA-DF8E-4CFC-92DC-D0977023C457}"/>
  </bookViews>
  <sheets>
    <sheet name="Analysis" sheetId="2" r:id="rId1"/>
    <sheet name="Dashboard" sheetId="5" r:id="rId2"/>
    <sheet name="Excel_jumia" sheetId="1" r:id="rId3"/>
  </sheets>
  <calcPr calcId="0"/>
  <pivotCaches>
    <pivotCache cacheId="11" r:id="rId4"/>
  </pivotCaches>
</workbook>
</file>

<file path=xl/calcChain.xml><?xml version="1.0" encoding="utf-8"?>
<calcChain xmlns="http://schemas.openxmlformats.org/spreadsheetml/2006/main">
  <c r="A4" i="5" l="1"/>
  <c r="C4" i="5"/>
  <c r="B9" i="2"/>
  <c r="B7" i="2"/>
  <c r="H56" i="1"/>
  <c r="H43" i="1"/>
  <c r="J43" i="1" s="1"/>
  <c r="H15" i="1"/>
  <c r="H25" i="1"/>
  <c r="J25" i="1" s="1"/>
  <c r="H88" i="1"/>
  <c r="J88" i="1" s="1"/>
  <c r="H12" i="1"/>
  <c r="J12" i="1" s="1"/>
  <c r="H89" i="1"/>
  <c r="H20" i="1"/>
  <c r="J20" i="1" s="1"/>
  <c r="H92" i="1"/>
  <c r="H86" i="1"/>
  <c r="J86" i="1" s="1"/>
  <c r="H13" i="1"/>
  <c r="J13" i="1" s="1"/>
  <c r="H2" i="1"/>
  <c r="J2" i="1" s="1"/>
  <c r="H32" i="1"/>
  <c r="H85" i="1"/>
  <c r="H74" i="1"/>
  <c r="H75" i="1"/>
  <c r="H76" i="1"/>
  <c r="H44" i="1"/>
  <c r="J44" i="1" s="1"/>
  <c r="H36" i="1"/>
  <c r="J36" i="1" s="1"/>
  <c r="H95" i="1"/>
  <c r="J95" i="1" s="1"/>
  <c r="H50" i="1"/>
  <c r="H90" i="1"/>
  <c r="H82" i="1"/>
  <c r="H83" i="1"/>
  <c r="H45" i="1"/>
  <c r="H93" i="1"/>
  <c r="J93" i="1" s="1"/>
  <c r="H94" i="1"/>
  <c r="H87" i="1"/>
  <c r="J87" i="1" s="1"/>
  <c r="H17" i="1"/>
  <c r="J17" i="1" s="1"/>
  <c r="H57" i="1"/>
  <c r="H37" i="1"/>
  <c r="H54" i="1"/>
  <c r="H31" i="1"/>
  <c r="J31" i="1" s="1"/>
  <c r="H80" i="1"/>
  <c r="J80" i="1" s="1"/>
  <c r="H77" i="1"/>
  <c r="H78" i="1"/>
  <c r="H84" i="1"/>
  <c r="J84" i="1" s="1"/>
  <c r="H81" i="1"/>
  <c r="J81" i="1" s="1"/>
  <c r="H9" i="1"/>
  <c r="H29" i="1"/>
  <c r="H39" i="1"/>
  <c r="J39" i="1" s="1"/>
  <c r="H14" i="1"/>
  <c r="J14" i="1" s="1"/>
  <c r="H3" i="1"/>
  <c r="H52" i="1"/>
  <c r="H40" i="1"/>
  <c r="H42" i="1"/>
  <c r="H23" i="1"/>
  <c r="H6" i="1"/>
  <c r="H21" i="1"/>
  <c r="J21" i="1" s="1"/>
  <c r="H33" i="1"/>
  <c r="J33" i="1" s="1"/>
  <c r="H28" i="1"/>
  <c r="H47" i="1"/>
  <c r="J47" i="1" s="1"/>
  <c r="H48" i="1"/>
  <c r="H46" i="1"/>
  <c r="H41" i="1"/>
  <c r="H5" i="1"/>
  <c r="J5" i="1" s="1"/>
  <c r="H19" i="1"/>
  <c r="J19" i="1" s="1"/>
  <c r="H104" i="1"/>
  <c r="J104" i="1" s="1"/>
  <c r="H96" i="1"/>
  <c r="J96" i="1" s="1"/>
  <c r="H109" i="1"/>
  <c r="J109" i="1" s="1"/>
  <c r="H55" i="1"/>
  <c r="J55" i="1" s="1"/>
  <c r="H102" i="1"/>
  <c r="J102" i="1" s="1"/>
  <c r="H101" i="1"/>
  <c r="H107" i="1"/>
  <c r="J37" i="1" s="1"/>
  <c r="H105" i="1"/>
  <c r="J105" i="1" s="1"/>
  <c r="H97" i="1"/>
  <c r="J97" i="1" s="1"/>
  <c r="H103" i="1"/>
  <c r="J103" i="1" s="1"/>
  <c r="H98" i="1"/>
  <c r="J98" i="1" s="1"/>
  <c r="H106" i="1"/>
  <c r="J106" i="1" s="1"/>
  <c r="H99" i="1"/>
  <c r="H108" i="1"/>
  <c r="J108" i="1" s="1"/>
  <c r="H58" i="1"/>
  <c r="J58" i="1" s="1"/>
  <c r="H59" i="1"/>
  <c r="J59" i="1" s="1"/>
  <c r="H34" i="1"/>
  <c r="H16" i="1"/>
  <c r="J16" i="1" s="1"/>
  <c r="H30" i="1"/>
  <c r="H100" i="1"/>
  <c r="H79" i="1"/>
  <c r="H4" i="1"/>
  <c r="H24" i="1"/>
  <c r="H91" i="1"/>
  <c r="J91" i="1" s="1"/>
  <c r="H18" i="1"/>
  <c r="H11" i="1"/>
  <c r="J11" i="1" s="1"/>
  <c r="H60" i="1"/>
  <c r="J60" i="1" s="1"/>
  <c r="H26" i="1"/>
  <c r="H22" i="1"/>
  <c r="J90" i="1" s="1"/>
  <c r="H27" i="1"/>
  <c r="H10" i="1"/>
  <c r="H8" i="1"/>
  <c r="J8" i="1" s="1"/>
  <c r="H53" i="1"/>
  <c r="H49" i="1"/>
  <c r="J49" i="1" s="1"/>
  <c r="H7" i="1"/>
  <c r="J7" i="1" s="1"/>
  <c r="H51" i="1"/>
  <c r="J51" i="1" s="1"/>
  <c r="H61" i="1"/>
  <c r="J61" i="1" s="1"/>
  <c r="H62" i="1"/>
  <c r="H63" i="1"/>
  <c r="J63" i="1" s="1"/>
  <c r="H64" i="1"/>
  <c r="J64" i="1" s="1"/>
  <c r="H35" i="1"/>
  <c r="J35" i="1" s="1"/>
  <c r="H65" i="1"/>
  <c r="J65" i="1" s="1"/>
  <c r="H66" i="1"/>
  <c r="J66" i="1" s="1"/>
  <c r="H67" i="1"/>
  <c r="J67" i="1" s="1"/>
  <c r="H68" i="1"/>
  <c r="H69" i="1"/>
  <c r="H70" i="1"/>
  <c r="J107" i="1" s="1"/>
  <c r="H71" i="1"/>
  <c r="J71" i="1" s="1"/>
  <c r="H72" i="1"/>
  <c r="J72" i="1" s="1"/>
  <c r="H110" i="1"/>
  <c r="J110" i="1" s="1"/>
  <c r="H73" i="1"/>
  <c r="J73" i="1" s="1"/>
  <c r="H38" i="1"/>
  <c r="J50" i="1" s="1"/>
  <c r="K17" i="1"/>
  <c r="K9" i="1"/>
  <c r="K29" i="1"/>
  <c r="K39" i="1"/>
  <c r="K14" i="1"/>
  <c r="K3" i="1"/>
  <c r="K52" i="1"/>
  <c r="K40" i="1"/>
  <c r="K42" i="1"/>
  <c r="K23" i="1"/>
  <c r="K6" i="1"/>
  <c r="K21" i="1"/>
  <c r="K33" i="1"/>
  <c r="K28" i="1"/>
  <c r="K47" i="1"/>
  <c r="K48" i="1"/>
  <c r="K46" i="1"/>
  <c r="K41" i="1"/>
  <c r="K5" i="1"/>
  <c r="K19" i="1"/>
  <c r="K59" i="1"/>
  <c r="K34" i="1"/>
  <c r="K16" i="1"/>
  <c r="K30" i="1"/>
  <c r="K4" i="1"/>
  <c r="K24" i="1"/>
  <c r="K18" i="1"/>
  <c r="K11" i="1"/>
  <c r="K60" i="1"/>
  <c r="K26" i="1"/>
  <c r="K22" i="1"/>
  <c r="K27" i="1"/>
  <c r="K10" i="1"/>
  <c r="K8" i="1"/>
  <c r="K53" i="1"/>
  <c r="K49" i="1"/>
  <c r="K7" i="1"/>
  <c r="K51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35" i="1"/>
  <c r="K25" i="1"/>
  <c r="K20" i="1"/>
  <c r="K2" i="1"/>
  <c r="K15" i="1"/>
  <c r="K13" i="1"/>
  <c r="K37" i="1"/>
  <c r="K31" i="1"/>
  <c r="K43" i="1"/>
  <c r="K12" i="1"/>
  <c r="K44" i="1"/>
  <c r="K36" i="1"/>
  <c r="K45" i="1"/>
  <c r="K38" i="1"/>
  <c r="K32" i="1"/>
  <c r="K80" i="1"/>
  <c r="K81" i="1"/>
  <c r="K82" i="1"/>
  <c r="K83" i="1"/>
  <c r="K57" i="1"/>
  <c r="K54" i="1"/>
  <c r="K84" i="1"/>
  <c r="K85" i="1"/>
  <c r="K56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55" i="1"/>
  <c r="K102" i="1"/>
  <c r="K103" i="1"/>
  <c r="K104" i="1"/>
  <c r="K105" i="1"/>
  <c r="K106" i="1"/>
  <c r="K107" i="1"/>
  <c r="K108" i="1"/>
  <c r="K109" i="1"/>
  <c r="K58" i="1"/>
  <c r="K110" i="1"/>
  <c r="K50" i="1"/>
  <c r="J9" i="1"/>
  <c r="J23" i="1"/>
  <c r="J41" i="1"/>
  <c r="J4" i="1"/>
  <c r="J24" i="1"/>
  <c r="J69" i="1"/>
  <c r="J74" i="1"/>
  <c r="J75" i="1"/>
  <c r="J38" i="1"/>
  <c r="J82" i="1"/>
  <c r="J56" i="1"/>
  <c r="J89" i="1"/>
  <c r="J101" i="1"/>
  <c r="I17" i="1"/>
  <c r="I9" i="1"/>
  <c r="I29" i="1"/>
  <c r="I39" i="1"/>
  <c r="I14" i="1"/>
  <c r="I3" i="1"/>
  <c r="I52" i="1"/>
  <c r="I40" i="1"/>
  <c r="I42" i="1"/>
  <c r="I23" i="1"/>
  <c r="I6" i="1"/>
  <c r="I21" i="1"/>
  <c r="I33" i="1"/>
  <c r="I28" i="1"/>
  <c r="I47" i="1"/>
  <c r="I48" i="1"/>
  <c r="I46" i="1"/>
  <c r="I41" i="1"/>
  <c r="I5" i="1"/>
  <c r="I19" i="1"/>
  <c r="I59" i="1"/>
  <c r="I34" i="1"/>
  <c r="I16" i="1"/>
  <c r="I30" i="1"/>
  <c r="I4" i="1"/>
  <c r="I24" i="1"/>
  <c r="I18" i="1"/>
  <c r="I11" i="1"/>
  <c r="I60" i="1"/>
  <c r="I26" i="1"/>
  <c r="I22" i="1"/>
  <c r="I27" i="1"/>
  <c r="I10" i="1"/>
  <c r="I8" i="1"/>
  <c r="I53" i="1"/>
  <c r="I49" i="1"/>
  <c r="I7" i="1"/>
  <c r="I51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35" i="1"/>
  <c r="I25" i="1"/>
  <c r="I20" i="1"/>
  <c r="I2" i="1"/>
  <c r="I15" i="1"/>
  <c r="I13" i="1"/>
  <c r="I37" i="1"/>
  <c r="I31" i="1"/>
  <c r="I43" i="1"/>
  <c r="I12" i="1"/>
  <c r="I44" i="1"/>
  <c r="I36" i="1"/>
  <c r="I45" i="1"/>
  <c r="I38" i="1"/>
  <c r="I32" i="1"/>
  <c r="I80" i="1"/>
  <c r="I81" i="1"/>
  <c r="I82" i="1"/>
  <c r="I83" i="1"/>
  <c r="I57" i="1"/>
  <c r="I54" i="1"/>
  <c r="I84" i="1"/>
  <c r="I85" i="1"/>
  <c r="I56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55" i="1"/>
  <c r="I102" i="1"/>
  <c r="I103" i="1"/>
  <c r="I104" i="1"/>
  <c r="I105" i="1"/>
  <c r="I106" i="1"/>
  <c r="I107" i="1"/>
  <c r="I108" i="1"/>
  <c r="I109" i="1"/>
  <c r="I58" i="1"/>
  <c r="I110" i="1"/>
  <c r="I50" i="1"/>
  <c r="F17" i="1"/>
  <c r="F9" i="1"/>
  <c r="F29" i="1"/>
  <c r="F39" i="1"/>
  <c r="F14" i="1"/>
  <c r="F3" i="1"/>
  <c r="F52" i="1"/>
  <c r="F40" i="1"/>
  <c r="F42" i="1"/>
  <c r="F23" i="1"/>
  <c r="F6" i="1"/>
  <c r="F21" i="1"/>
  <c r="F33" i="1"/>
  <c r="F28" i="1"/>
  <c r="F47" i="1"/>
  <c r="F48" i="1"/>
  <c r="F46" i="1"/>
  <c r="F41" i="1"/>
  <c r="F5" i="1"/>
  <c r="F19" i="1"/>
  <c r="F59" i="1"/>
  <c r="F34" i="1"/>
  <c r="F16" i="1"/>
  <c r="F30" i="1"/>
  <c r="F4" i="1"/>
  <c r="F24" i="1"/>
  <c r="F18" i="1"/>
  <c r="F11" i="1"/>
  <c r="F60" i="1"/>
  <c r="F26" i="1"/>
  <c r="F22" i="1"/>
  <c r="F27" i="1"/>
  <c r="F10" i="1"/>
  <c r="F8" i="1"/>
  <c r="F53" i="1"/>
  <c r="F49" i="1"/>
  <c r="F7" i="1"/>
  <c r="F51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35" i="1"/>
  <c r="F25" i="1"/>
  <c r="F20" i="1"/>
  <c r="F2" i="1"/>
  <c r="F15" i="1"/>
  <c r="F13" i="1"/>
  <c r="F37" i="1"/>
  <c r="F31" i="1"/>
  <c r="F43" i="1"/>
  <c r="F12" i="1"/>
  <c r="F44" i="1"/>
  <c r="F36" i="1"/>
  <c r="F45" i="1"/>
  <c r="F38" i="1"/>
  <c r="F32" i="1"/>
  <c r="F80" i="1"/>
  <c r="F81" i="1"/>
  <c r="F82" i="1"/>
  <c r="F83" i="1"/>
  <c r="F57" i="1"/>
  <c r="F54" i="1"/>
  <c r="F84" i="1"/>
  <c r="F85" i="1"/>
  <c r="F56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55" i="1"/>
  <c r="F102" i="1"/>
  <c r="F103" i="1"/>
  <c r="F104" i="1"/>
  <c r="F105" i="1"/>
  <c r="F106" i="1"/>
  <c r="F107" i="1"/>
  <c r="F108" i="1"/>
  <c r="F109" i="1"/>
  <c r="F58" i="1"/>
  <c r="F110" i="1"/>
  <c r="F50" i="1"/>
  <c r="D4" i="5" l="1"/>
  <c r="J45" i="1"/>
  <c r="J76" i="1"/>
  <c r="B4" i="5"/>
  <c r="J54" i="1"/>
  <c r="J26" i="1"/>
  <c r="J34" i="1"/>
  <c r="J53" i="1"/>
  <c r="J18" i="1"/>
  <c r="J99" i="1"/>
  <c r="J57" i="1"/>
  <c r="J46" i="1"/>
  <c r="J100" i="1"/>
  <c r="J92" i="1"/>
  <c r="J85" i="1"/>
  <c r="J32" i="1"/>
  <c r="J79" i="1"/>
  <c r="J15" i="1"/>
  <c r="J94" i="1"/>
  <c r="J62" i="1"/>
  <c r="J27" i="1"/>
  <c r="J48" i="1"/>
  <c r="J40" i="1"/>
  <c r="J28" i="1"/>
  <c r="J3" i="1"/>
  <c r="J10" i="1"/>
  <c r="J68" i="1"/>
  <c r="J6" i="1"/>
  <c r="J29" i="1"/>
  <c r="J78" i="1"/>
  <c r="J70" i="1"/>
  <c r="J30" i="1"/>
  <c r="J83" i="1"/>
  <c r="J77" i="1"/>
  <c r="J42" i="1"/>
  <c r="J22" i="1"/>
  <c r="J52" i="1"/>
</calcChain>
</file>

<file path=xl/sharedStrings.xml><?xml version="1.0" encoding="utf-8"?>
<sst xmlns="http://schemas.openxmlformats.org/spreadsheetml/2006/main" count="214" uniqueCount="163">
  <si>
    <t>Product</t>
  </si>
  <si>
    <t>Current price</t>
  </si>
  <si>
    <t>old price</t>
  </si>
  <si>
    <t>Discount</t>
  </si>
  <si>
    <t>Review</t>
  </si>
  <si>
    <t>115  Piece Set Of Multifunctional Precision Screwdrivers</t>
  </si>
  <si>
    <t>4.5 out of 5</t>
  </si>
  <si>
    <t>Metal Decorative Hooks Key Hangers Entryway Wall Hooks Towel Hooks - Home</t>
  </si>
  <si>
    <t>4.1 out of 5</t>
  </si>
  <si>
    <t>Portable Mini Cordless Car Vacuum Cleaner - Blue</t>
  </si>
  <si>
    <t>4.6 out of 5</t>
  </si>
  <si>
    <t>Weighing Scale Digital Bathroom Body Fat Scale USB-Black</t>
  </si>
  <si>
    <t>4.7 out of 5</t>
  </si>
  <si>
    <t>Portable Home Small Air Humidifier 3-Speed Fan - Green</t>
  </si>
  <si>
    <t>4.8 out of 5</t>
  </si>
  <si>
    <t>220V 60W Electric Soldering Iron Kits With Tools, Tips, And Multimeter</t>
  </si>
  <si>
    <t>4 out of 5</t>
  </si>
  <si>
    <t>137 Pieces Cake Decorating Tool Set Baking Supplies</t>
  </si>
  <si>
    <t>Desk Foldable Fan Adjustable Fan Strong Wind 3 Gear Usb</t>
  </si>
  <si>
    <t>LASA FOLDING TABLE SERVING STAND</t>
  </si>
  <si>
    <t>13 In 1 Home Repair Tools Box Kit Set</t>
  </si>
  <si>
    <t>3.8 out of 5</t>
  </si>
  <si>
    <t>Genebre 115 In 1 Screwdriver Repairing Tool Set For IPhone Cellphone Hand Tool</t>
  </si>
  <si>
    <t>100 Pcs Crochet Hook Tool Set Knitting Hook Set With Box</t>
  </si>
  <si>
    <t>40cm Gold DIY Acrylic Wall Sticker Clock</t>
  </si>
  <si>
    <t>LASA Digital Thermometer And Hydrometer</t>
  </si>
  <si>
    <t>Multifunction Laser Level With Adjustment Tripod</t>
  </si>
  <si>
    <t>4.2 out of 5</t>
  </si>
  <si>
    <t>Anti-Skid Absorbent Insulation Coaster  For Home Office</t>
  </si>
  <si>
    <t>5 out of 5</t>
  </si>
  <si>
    <t>Peacock  Throw Pillow Cushion Case For Home Car</t>
  </si>
  <si>
    <t>LASA Aluminum Folding Truck Hand Cart - 68kg Max</t>
  </si>
  <si>
    <t>LED Wall Digital Alarm Clock Study Home 12 / 24H Clock Calendar</t>
  </si>
  <si>
    <t>3D Waterproof EVA Plastic Shower Curtain 1.8*2Mtrs</t>
  </si>
  <si>
    <t>3PCS Single Head Knitting Crochet Sweater Needle Set</t>
  </si>
  <si>
    <t>3.3 out of 5</t>
  </si>
  <si>
    <t>4pcs Bathroom/Kitchen Towel Rack,Roll Paper Holder,Towel Bars,Hook</t>
  </si>
  <si>
    <t>LED Romantic Spaceship Starry Sky Projector,Children's Bedroom Night Light-Blue</t>
  </si>
  <si>
    <t>Foldable Overbed Table/Desk</t>
  </si>
  <si>
    <t>4.4 out of 5</t>
  </si>
  <si>
    <t>LASA 3 Tier Bamboo Shoe Bench Storage Shelf</t>
  </si>
  <si>
    <t>4.3 out of 5</t>
  </si>
  <si>
    <t>Electronic Digital Display Vernier Caliper</t>
  </si>
  <si>
    <t>Portable Wardrobe Nonwoven With 3 Hanging Rods And 6 Storage Shelves</t>
  </si>
  <si>
    <t>12 Litre Black Insulated Lunch Box</t>
  </si>
  <si>
    <t>52 Pieces Cake Decorating Tool Set Gift Kit Baking Supplies</t>
  </si>
  <si>
    <t>Exfoliate And Exfoliate Face Towel - Black</t>
  </si>
  <si>
    <t>12 Litre Insulated Lunch Box Grey</t>
  </si>
  <si>
    <t>LED Eye Protection  Desk Lamp , Study, Reading, USB Fan - Double Pen Holder</t>
  </si>
  <si>
    <t>53Pcs/Set Yarn Knitting Crochet Hooks With Bag - Fortune Cat</t>
  </si>
  <si>
    <t>53 Pieces/Set Yarn Knitting Crochet Hooks With Bag - Pansies</t>
  </si>
  <si>
    <t>DIY File Folder, Office Drawer File Holder, Pen Holder, Desktop Storage Rack</t>
  </si>
  <si>
    <t>Classic Black Cat Cotton Hemp Pillow Case For Home Car</t>
  </si>
  <si>
    <t>Punch-free Great Load Bearing Bathroom Storage Rack Wall Shelf-White</t>
  </si>
  <si>
    <t>1/2/3 Seater Elastic Sofa Cover,Living Room/Home Decor Chair Cover-Grey</t>
  </si>
  <si>
    <t>LASA Stainless Steel Double Wall Mount Soap Dispenser - 500ml</t>
  </si>
  <si>
    <t>4M Float Switch Water Level Controller -Water Tank</t>
  </si>
  <si>
    <t>Modern Sofa Throw Pillow Cover-45x45cm-Blue&amp;Red</t>
  </si>
  <si>
    <t>Balloon Insert, Birthday Party Balloon Set, PU Leather</t>
  </si>
  <si>
    <t>Shower Cap Wide Elastic Band Cover Reusable Bashroom Cap</t>
  </si>
  <si>
    <t>Christmas Elk Fence Yard Lawn Decorations Cute For Holidays</t>
  </si>
  <si>
    <t>60W Hot Melt Glue Sprayer - Efficient And Stable Glue Dispensing</t>
  </si>
  <si>
    <t>Car Phone Charging Stand</t>
  </si>
  <si>
    <t>2pcs Solar Street Light Flood Light Outdoor</t>
  </si>
  <si>
    <t>Creative Owl Shape Keychain Black</t>
  </si>
  <si>
    <t>Brush &amp; Paintbrush Cleaning Tool Pink</t>
  </si>
  <si>
    <t>Pen Grips For Kids Pen Grip Posture Correction Tool For Kids</t>
  </si>
  <si>
    <t>Pilates Cloth Bag Waterproof Durable High Capacity Purple</t>
  </si>
  <si>
    <t>Multi-purpose Rice Drainage Basket And Fruit And Vegetable Drainage Sieve</t>
  </si>
  <si>
    <t>Cute Christmas Fence Garden Decorations For Holiday Home</t>
  </si>
  <si>
    <t>Simple Metal Dog Art Sculpture Decoration For Home Office</t>
  </si>
  <si>
    <t>Christmas Fence Garden Decorations Outdoor For Holiday Home</t>
  </si>
  <si>
    <t>Angle Measuring Tool Full Metal Multi Angle Measuring Tool</t>
  </si>
  <si>
    <t>12V 19500rpm Handheld Electric Angle Grinder Tool - UK - Yellow/Black</t>
  </si>
  <si>
    <t>5 Pieces/set Of Stainless Steel Induction Cooker Pots</t>
  </si>
  <si>
    <t>2.5 out of 5</t>
  </si>
  <si>
    <t>Mythco 120COB Solar Wall Ligt With Motion Sensor And Remote Control 3 Modes</t>
  </si>
  <si>
    <t>3 out of 5</t>
  </si>
  <si>
    <t>5-PCS Stainless Steel Cooking Pot Set With Steamed Slices</t>
  </si>
  <si>
    <t>2.1 out of 5</t>
  </si>
  <si>
    <t>120W Cordless Vacuum Cleaners Handheld Electric Vacuum Cleaner</t>
  </si>
  <si>
    <t>2.8 out of 5</t>
  </si>
  <si>
    <t>Intelligent  LED Body Sensor Wireless Lighting Night Light USB</t>
  </si>
  <si>
    <t>2.7 out of 5</t>
  </si>
  <si>
    <t>VIC Wireless Vacuum Cleaner Dual Use For Home And Car 120W High Power Powerful</t>
  </si>
  <si>
    <t>2.9 out of 5</t>
  </si>
  <si>
    <t>Artificial Potted Flowers Room Decorative Flowers (2 Pieces)</t>
  </si>
  <si>
    <t>2.2 out of 5</t>
  </si>
  <si>
    <t>380ML USB Rechargeable Portable Small Blenders And Juicers</t>
  </si>
  <si>
    <t>2.3 out of 5</t>
  </si>
  <si>
    <t>32PCS Portable Cordless Drill Set With Cyclic Battery Drive -26 Variable Speed</t>
  </si>
  <si>
    <t>Agapeon Toothbrush Holder And Toothpaste Dispenser</t>
  </si>
  <si>
    <t>2.6 out of 5</t>
  </si>
  <si>
    <t>Large Lazy Inflatable Sofa Chairs PVC Lounger Seat Bag</t>
  </si>
  <si>
    <t>Watercolour Gold Foil Textured Print Pillow Cover</t>
  </si>
  <si>
    <t>Wrought Iron Bathroom Shelf Wall Mounted Free Punch Toilet Rack</t>
  </si>
  <si>
    <t>7-piece Set Of Storage Bags, Travel Storage Bags, Shoe Bags</t>
  </si>
  <si>
    <t>Electric LED UV Mosquito Killer Lamp, Outdoor/Indoor Fly Killer Trap Light -USB</t>
  </si>
  <si>
    <t>2PCS/LOT Solar LED Outdoor Intelligent Light Controlled Wall Lamp</t>
  </si>
  <si>
    <t>3PCS Rotary Scraper Thermomix For Kitchen</t>
  </si>
  <si>
    <t>Cushion Silicone Butt Cushion Summer Ice Cushion Honeycomb Gel Cushion</t>
  </si>
  <si>
    <t>7PCS Silicone Thumb Knife Finger Protector Vegetable Harvesting Knife</t>
  </si>
  <si>
    <t>Memory Foam Neck Pillow Cover, With Pillow Core - 50*30cm</t>
  </si>
  <si>
    <t>Bedroom Simple Floor Hanging Clothes Rack Single Pole Hat Rack - White</t>
  </si>
  <si>
    <t>5m Waterproof Spherical LED String Lights Outdoor Ball Chain Lights Party Lighting Decoration Adjustable</t>
  </si>
  <si>
    <t>2 Pairs Cowhide Split Leather Work Gloves.32â„‰ Or Above Welding Gloves</t>
  </si>
  <si>
    <t>Household Pineapple Peeler Peeler</t>
  </si>
  <si>
    <t>Office Chair Lumbar Back Support Spine Posture Correction Pillow Car Cushion</t>
  </si>
  <si>
    <t>Cartoon Car Decoration Cute Individuality For Car Home Desk</t>
  </si>
  <si>
    <t>Outdoor Portable Water Bottle With Medicine Box - 600ML - Black</t>
  </si>
  <si>
    <t>Wall-Mounted Toothbrush Toothpaste Holder With Multiple Slots</t>
  </si>
  <si>
    <t>Multifunctional Hanging Storage Box Storage Bag (4 Layers)</t>
  </si>
  <si>
    <t>Wall Clock With Hidden Safe Box</t>
  </si>
  <si>
    <t>Portable Wine Table With Folding Round Table</t>
  </si>
  <si>
    <t>Sewing Machine Needle Threader Stitch Insertion Tool Automatic Quick Sewing</t>
  </si>
  <si>
    <t>6 Layers Steel Pipe Assembling Dustproof Storage Shoe Cabinet</t>
  </si>
  <si>
    <t>2PCS Ice Silk Square Cushion Cover Pillowcases - 65x65cm</t>
  </si>
  <si>
    <t>Wall Mount Automatic Toothpaste Dispenser Toothbrush Holder Toothpaste Squeezer</t>
  </si>
  <si>
    <t>Portable Soap Dispenser Kitchen Detergent Press Box Kitchen Tools</t>
  </si>
  <si>
    <t>4 Piece Coloured Stainless Steel Kitchenware Set</t>
  </si>
  <si>
    <t>Metal Wall Clock Silver Dial Crystal Jewelry Round Home Decoration Wall Clock</t>
  </si>
  <si>
    <t>Baby Early Education Shape And Color Cognitive Training Toys</t>
  </si>
  <si>
    <t>8in1 Screwdriver With LED Light</t>
  </si>
  <si>
    <t>Konka Healty Electric Kettle, 24-hour Heat Preservation,1.5L,800W, White</t>
  </si>
  <si>
    <t>9pcs Gas Mask, For Painting, Dust, Formaldehyde Grinding, Polishing</t>
  </si>
  <si>
    <t>24 Grid Wall-mounted Sundries Organiser Fabric Closet Bag Storage Rack</t>
  </si>
  <si>
    <t>1PC Refrigerator Food Seal Pocket Fridge Bags</t>
  </si>
  <si>
    <t>LED Solar Street Light-fake Camera</t>
  </si>
  <si>
    <t>Cartoon Embroidered Mini Towel Bear Cotton Wash Cloth Hand 4pcs</t>
  </si>
  <si>
    <t>Shower Nozzle Cleaning Unclogging Needle Mini Crevice Small Hole Cleaning Brush</t>
  </si>
  <si>
    <t>Thickening Multipurpose Non Stick Easy To Clean Heat Resistant Spoon Pad</t>
  </si>
  <si>
    <t>6 In 1 Bottle Can Opener Multifunctional Easy Opener</t>
  </si>
  <si>
    <t>Wall-mounted Sticker Punch-free Plug Fixer</t>
  </si>
  <si>
    <t>2 out of 5</t>
  </si>
  <si>
    <t>Black Simple Water Cup Wine Coaster Anti Slip Absorbent</t>
  </si>
  <si>
    <t>Ratings</t>
  </si>
  <si>
    <t>MultiFunctional Storage Rack Multi-layer Booelf</t>
  </si>
  <si>
    <t>Numeric Rating</t>
  </si>
  <si>
    <t>Review(+)</t>
  </si>
  <si>
    <t>Discount Amount</t>
  </si>
  <si>
    <t>Rating Category</t>
  </si>
  <si>
    <t>Discount Category</t>
  </si>
  <si>
    <t>Row Labels</t>
  </si>
  <si>
    <t>Grand Total</t>
  </si>
  <si>
    <t>Average of Discount</t>
  </si>
  <si>
    <t>Average of Current price</t>
  </si>
  <si>
    <t>Average of old price</t>
  </si>
  <si>
    <t>Average of Numeric Rating</t>
  </si>
  <si>
    <t>Most Expensive product</t>
  </si>
  <si>
    <t>Least Expensive Product</t>
  </si>
  <si>
    <t>High Discount</t>
  </si>
  <si>
    <t>Low Discount</t>
  </si>
  <si>
    <t>Medium Discount</t>
  </si>
  <si>
    <t>Average</t>
  </si>
  <si>
    <t>Excellent</t>
  </si>
  <si>
    <t>Poor</t>
  </si>
  <si>
    <t>Count of Product</t>
  </si>
  <si>
    <t>Average of Review(+)</t>
  </si>
  <si>
    <t>Total Products</t>
  </si>
  <si>
    <t>Avg Rating</t>
  </si>
  <si>
    <t>Avg Discount</t>
  </si>
  <si>
    <t>Total Reviews</t>
  </si>
  <si>
    <t>Product Perfomance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</si>
</sst>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5" tint="0.399975585192419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9" fontId="0" fillId="0" borderId="0" xfId="0" applyNumberFormat="1"/>
    <xf numFmtId="0" fontId="17" fillId="33" borderId="0" xfId="0" applyFont="1" applyFill="1"/>
    <xf numFmtId="0" fontId="13" fillId="33" borderId="0" xfId="0" applyFont="1" applyFill="1"/>
    <xf numFmtId="2" fontId="13" fillId="33" borderId="0" xfId="1" applyNumberFormat="1" applyFont="1" applyFill="1"/>
    <xf numFmtId="2" fontId="0" fillId="0" borderId="0" xfId="1" applyNumberFormat="1" applyFont="1"/>
    <xf numFmtId="9" fontId="13" fillId="33" borderId="0" xfId="2" applyFont="1" applyFill="1"/>
    <xf numFmtId="9" fontId="0" fillId="0" borderId="0" xfId="2" applyFo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2" fontId="13" fillId="33" borderId="0" xfId="0" applyNumberFormat="1" applyFont="1" applyFill="1"/>
    <xf numFmtId="2" fontId="17" fillId="33" borderId="0" xfId="0" applyNumberFormat="1" applyFont="1" applyFill="1"/>
    <xf numFmtId="0" fontId="17" fillId="33" borderId="0" xfId="0" applyFont="1" applyFill="1" applyAlignment="1">
      <alignment horizontal="left"/>
    </xf>
    <xf numFmtId="9" fontId="17" fillId="33" borderId="0" xfId="0" applyNumberFormat="1" applyFont="1" applyFill="1"/>
    <xf numFmtId="0" fontId="17" fillId="33" borderId="0" xfId="0" applyNumberFormat="1" applyFont="1" applyFill="1"/>
    <xf numFmtId="0" fontId="0" fillId="34" borderId="0" xfId="0" applyFill="1"/>
    <xf numFmtId="0" fontId="18" fillId="34" borderId="0" xfId="0" applyFont="1" applyFill="1"/>
    <xf numFmtId="0" fontId="19" fillId="34" borderId="0" xfId="0" applyFont="1" applyFill="1"/>
    <xf numFmtId="0" fontId="20" fillId="34" borderId="0" xfId="0" applyFont="1" applyFill="1" applyAlignment="1">
      <alignment horizontal="center"/>
    </xf>
    <xf numFmtId="0" fontId="21" fillId="33" borderId="0" xfId="0" applyFont="1" applyFill="1"/>
    <xf numFmtId="0" fontId="22" fillId="33" borderId="0" xfId="0" applyFont="1" applyFill="1"/>
    <xf numFmtId="9" fontId="22" fillId="33" borderId="0" xfId="0" applyNumberFormat="1" applyFont="1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36">
    <dxf>
      <font>
        <color theme="0"/>
      </font>
      <fill>
        <patternFill patternType="solid">
          <fgColor indexed="64"/>
          <bgColor theme="6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6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numFmt numFmtId="2" formatCode="0.00"/>
    </dxf>
    <dxf>
      <numFmt numFmtId="2" formatCode="0.00"/>
    </dxf>
    <dxf>
      <numFmt numFmtId="2" formatCode="0.00"/>
    </dxf>
    <dxf>
      <font>
        <color theme="0"/>
      </font>
      <fill>
        <patternFill patternType="solid">
          <fgColor indexed="64"/>
          <bgColor theme="6"/>
        </patternFill>
      </fill>
      <alignment horizontal="general" vertical="bottom" textRotation="0" wrapText="0" indent="0" justifyLastLine="0" shrinkToFit="0" readingOrder="0"/>
    </dxf>
    <dxf>
      <font>
        <color theme="0"/>
      </font>
      <fill>
        <patternFill patternType="solid">
          <fgColor indexed="64"/>
          <bgColor theme="6"/>
        </patternFill>
      </fill>
      <alignment horizontal="general" vertical="bottom" textRotation="0" wrapText="0" indent="0" justifyLastLine="0" shrinkToFit="0" readingOrder="0"/>
    </dxf>
    <dxf>
      <font>
        <color theme="0"/>
      </font>
    </dxf>
    <dxf>
      <font>
        <color theme="0"/>
      </font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ont>
        <color theme="0"/>
      </font>
    </dxf>
    <dxf>
      <fill>
        <patternFill patternType="solid">
          <bgColor theme="6"/>
        </patternFill>
      </fill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[Excel_jumia.xlsx]Analysis!PivotTable5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Analysis!$A$22:$A$25</c:f>
              <c:strCache>
                <c:ptCount val="3"/>
                <c:pt idx="0">
                  <c:v>Average</c:v>
                </c:pt>
                <c:pt idx="1">
                  <c:v>Excellent</c:v>
                </c:pt>
                <c:pt idx="2">
                  <c:v>Poor</c:v>
                </c:pt>
              </c:strCache>
            </c:strRef>
          </c:cat>
          <c:val>
            <c:numRef>
              <c:f>Analysis!$B$22:$B$25</c:f>
              <c:numCache>
                <c:formatCode>General</c:formatCode>
                <c:ptCount val="3"/>
                <c:pt idx="0">
                  <c:v>22</c:v>
                </c:pt>
                <c:pt idx="1">
                  <c:v>75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2-42D8-8126-B1BB45731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Review(+)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Excel_jumia!$F$1</c:f>
              <c:strCache>
                <c:ptCount val="1"/>
                <c:pt idx="0">
                  <c:v>Review(+)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Excel_jumia!$D$2:$D$116</c:f>
              <c:numCache>
                <c:formatCode>0%</c:formatCode>
                <c:ptCount val="115"/>
                <c:pt idx="0">
                  <c:v>0.38</c:v>
                </c:pt>
                <c:pt idx="1">
                  <c:v>0.53</c:v>
                </c:pt>
                <c:pt idx="2">
                  <c:v>0.49</c:v>
                </c:pt>
                <c:pt idx="3">
                  <c:v>0.49</c:v>
                </c:pt>
                <c:pt idx="4">
                  <c:v>0.5</c:v>
                </c:pt>
                <c:pt idx="5">
                  <c:v>0.47</c:v>
                </c:pt>
                <c:pt idx="6">
                  <c:v>0.47</c:v>
                </c:pt>
                <c:pt idx="7">
                  <c:v>0.55000000000000004</c:v>
                </c:pt>
                <c:pt idx="8">
                  <c:v>0.48</c:v>
                </c:pt>
                <c:pt idx="9">
                  <c:v>0.49</c:v>
                </c:pt>
                <c:pt idx="10">
                  <c:v>0.36</c:v>
                </c:pt>
                <c:pt idx="11">
                  <c:v>0.38</c:v>
                </c:pt>
                <c:pt idx="12">
                  <c:v>0.54</c:v>
                </c:pt>
                <c:pt idx="13">
                  <c:v>0.38</c:v>
                </c:pt>
                <c:pt idx="14">
                  <c:v>0.49</c:v>
                </c:pt>
                <c:pt idx="15">
                  <c:v>0.61</c:v>
                </c:pt>
                <c:pt idx="16">
                  <c:v>0.49</c:v>
                </c:pt>
                <c:pt idx="17">
                  <c:v>0.49</c:v>
                </c:pt>
                <c:pt idx="18">
                  <c:v>0.39</c:v>
                </c:pt>
                <c:pt idx="19">
                  <c:v>0.5</c:v>
                </c:pt>
                <c:pt idx="20">
                  <c:v>0.48</c:v>
                </c:pt>
                <c:pt idx="21">
                  <c:v>0.51</c:v>
                </c:pt>
                <c:pt idx="22">
                  <c:v>0.49</c:v>
                </c:pt>
                <c:pt idx="23">
                  <c:v>0.4</c:v>
                </c:pt>
                <c:pt idx="24">
                  <c:v>0.48</c:v>
                </c:pt>
                <c:pt idx="25">
                  <c:v>0.48</c:v>
                </c:pt>
                <c:pt idx="26">
                  <c:v>0.5</c:v>
                </c:pt>
                <c:pt idx="27">
                  <c:v>0.55000000000000004</c:v>
                </c:pt>
                <c:pt idx="28">
                  <c:v>0.49</c:v>
                </c:pt>
                <c:pt idx="29">
                  <c:v>0.37</c:v>
                </c:pt>
                <c:pt idx="30">
                  <c:v>0.34</c:v>
                </c:pt>
                <c:pt idx="31">
                  <c:v>0.5</c:v>
                </c:pt>
                <c:pt idx="32">
                  <c:v>0.49</c:v>
                </c:pt>
                <c:pt idx="33">
                  <c:v>0.41</c:v>
                </c:pt>
                <c:pt idx="34">
                  <c:v>0.35</c:v>
                </c:pt>
                <c:pt idx="35">
                  <c:v>0.38</c:v>
                </c:pt>
                <c:pt idx="36">
                  <c:v>0.34</c:v>
                </c:pt>
                <c:pt idx="37">
                  <c:v>0.54</c:v>
                </c:pt>
                <c:pt idx="38">
                  <c:v>0.52</c:v>
                </c:pt>
                <c:pt idx="39">
                  <c:v>0.49</c:v>
                </c:pt>
                <c:pt idx="40">
                  <c:v>0.52</c:v>
                </c:pt>
                <c:pt idx="41">
                  <c:v>0.37</c:v>
                </c:pt>
                <c:pt idx="42">
                  <c:v>0.35</c:v>
                </c:pt>
                <c:pt idx="43">
                  <c:v>0.34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0.47</c:v>
                </c:pt>
                <c:pt idx="48">
                  <c:v>0.64</c:v>
                </c:pt>
                <c:pt idx="49">
                  <c:v>0.47</c:v>
                </c:pt>
                <c:pt idx="50">
                  <c:v>0.53</c:v>
                </c:pt>
                <c:pt idx="51">
                  <c:v>0.47</c:v>
                </c:pt>
                <c:pt idx="52">
                  <c:v>0.28999999999999998</c:v>
                </c:pt>
                <c:pt idx="53">
                  <c:v>0.08</c:v>
                </c:pt>
                <c:pt idx="54">
                  <c:v>0.27</c:v>
                </c:pt>
                <c:pt idx="55">
                  <c:v>0.3</c:v>
                </c:pt>
                <c:pt idx="56">
                  <c:v>0.02</c:v>
                </c:pt>
                <c:pt idx="57">
                  <c:v>0.49</c:v>
                </c:pt>
                <c:pt idx="58">
                  <c:v>0.49</c:v>
                </c:pt>
                <c:pt idx="59">
                  <c:v>0.47</c:v>
                </c:pt>
                <c:pt idx="60">
                  <c:v>0.47</c:v>
                </c:pt>
                <c:pt idx="61">
                  <c:v>0.46</c:v>
                </c:pt>
                <c:pt idx="62">
                  <c:v>0.46</c:v>
                </c:pt>
                <c:pt idx="63">
                  <c:v>0.46</c:v>
                </c:pt>
                <c:pt idx="64">
                  <c:v>0.45</c:v>
                </c:pt>
                <c:pt idx="65">
                  <c:v>0.45</c:v>
                </c:pt>
                <c:pt idx="66">
                  <c:v>0.45</c:v>
                </c:pt>
                <c:pt idx="67">
                  <c:v>0.45</c:v>
                </c:pt>
                <c:pt idx="68">
                  <c:v>0.43</c:v>
                </c:pt>
                <c:pt idx="69">
                  <c:v>0.43</c:v>
                </c:pt>
                <c:pt idx="70">
                  <c:v>0.43</c:v>
                </c:pt>
                <c:pt idx="71">
                  <c:v>0.43</c:v>
                </c:pt>
                <c:pt idx="72">
                  <c:v>0.42</c:v>
                </c:pt>
                <c:pt idx="73">
                  <c:v>0.42</c:v>
                </c:pt>
                <c:pt idx="74">
                  <c:v>0.42</c:v>
                </c:pt>
                <c:pt idx="75">
                  <c:v>0.42</c:v>
                </c:pt>
                <c:pt idx="76">
                  <c:v>0.41</c:v>
                </c:pt>
                <c:pt idx="77">
                  <c:v>0.41</c:v>
                </c:pt>
                <c:pt idx="78">
                  <c:v>0.34</c:v>
                </c:pt>
                <c:pt idx="79">
                  <c:v>0.33</c:v>
                </c:pt>
                <c:pt idx="80">
                  <c:v>0.33</c:v>
                </c:pt>
                <c:pt idx="81">
                  <c:v>0.32</c:v>
                </c:pt>
                <c:pt idx="82">
                  <c:v>0.27</c:v>
                </c:pt>
                <c:pt idx="83">
                  <c:v>0.27</c:v>
                </c:pt>
                <c:pt idx="84">
                  <c:v>0.26</c:v>
                </c:pt>
                <c:pt idx="85">
                  <c:v>0.25</c:v>
                </c:pt>
                <c:pt idx="86">
                  <c:v>0.24</c:v>
                </c:pt>
                <c:pt idx="87">
                  <c:v>0.24</c:v>
                </c:pt>
                <c:pt idx="88">
                  <c:v>0.23</c:v>
                </c:pt>
                <c:pt idx="89">
                  <c:v>0.22</c:v>
                </c:pt>
                <c:pt idx="90">
                  <c:v>0.22</c:v>
                </c:pt>
                <c:pt idx="91">
                  <c:v>0.21</c:v>
                </c:pt>
                <c:pt idx="92">
                  <c:v>0.2</c:v>
                </c:pt>
                <c:pt idx="93">
                  <c:v>0.19</c:v>
                </c:pt>
                <c:pt idx="94">
                  <c:v>0.18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0.13</c:v>
                </c:pt>
                <c:pt idx="98">
                  <c:v>0.11</c:v>
                </c:pt>
                <c:pt idx="99">
                  <c:v>0.09</c:v>
                </c:pt>
                <c:pt idx="100">
                  <c:v>0.04</c:v>
                </c:pt>
                <c:pt idx="101">
                  <c:v>0.04</c:v>
                </c:pt>
                <c:pt idx="102">
                  <c:v>0.03</c:v>
                </c:pt>
                <c:pt idx="103">
                  <c:v>0.02</c:v>
                </c:pt>
                <c:pt idx="104">
                  <c:v>0.02</c:v>
                </c:pt>
                <c:pt idx="105">
                  <c:v>0.02</c:v>
                </c:pt>
                <c:pt idx="106">
                  <c:v>0.02</c:v>
                </c:pt>
                <c:pt idx="107">
                  <c:v>0.02</c:v>
                </c:pt>
                <c:pt idx="108">
                  <c:v>0.01</c:v>
                </c:pt>
              </c:numCache>
            </c:numRef>
          </c:xVal>
          <c:yVal>
            <c:numRef>
              <c:f>Excel_jumia!$F$2:$F$116</c:f>
              <c:numCache>
                <c:formatCode>General</c:formatCode>
                <c:ptCount val="115"/>
                <c:pt idx="0">
                  <c:v>69</c:v>
                </c:pt>
                <c:pt idx="1">
                  <c:v>55</c:v>
                </c:pt>
                <c:pt idx="2">
                  <c:v>49</c:v>
                </c:pt>
                <c:pt idx="3">
                  <c:v>44</c:v>
                </c:pt>
                <c:pt idx="4">
                  <c:v>39</c:v>
                </c:pt>
                <c:pt idx="5">
                  <c:v>36</c:v>
                </c:pt>
                <c:pt idx="6">
                  <c:v>32</c:v>
                </c:pt>
                <c:pt idx="7">
                  <c:v>24</c:v>
                </c:pt>
                <c:pt idx="8">
                  <c:v>20</c:v>
                </c:pt>
                <c:pt idx="9">
                  <c:v>20</c:v>
                </c:pt>
                <c:pt idx="10">
                  <c:v>17</c:v>
                </c:pt>
                <c:pt idx="11">
                  <c:v>16</c:v>
                </c:pt>
                <c:pt idx="12">
                  <c:v>15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10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4C-45C9-B178-B096C5BD3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24176"/>
        <c:axId val="1285517456"/>
      </c:scatterChart>
      <c:valAx>
        <c:axId val="128552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17456"/>
        <c:crosses val="autoZero"/>
        <c:crossBetween val="midCat"/>
      </c:valAx>
      <c:valAx>
        <c:axId val="128551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2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Excel_jumia!$A$2:$A$10</c:f>
              <c:strCache>
                <c:ptCount val="9"/>
                <c:pt idx="0">
                  <c:v>120W Cordless Vacuum Cleaners Handheld Electric Vacuum Cleaner</c:v>
                </c:pt>
                <c:pt idx="1">
                  <c:v>137 Pieces Cake Decorating Tool Set Baking Supplies</c:v>
                </c:pt>
                <c:pt idx="2">
                  <c:v>Electronic Digital Display Vernier Caliper</c:v>
                </c:pt>
                <c:pt idx="3">
                  <c:v>3D Waterproof EVA Plastic Shower Curtain 1.8*2Mtrs</c:v>
                </c:pt>
                <c:pt idx="4">
                  <c:v>100 Pcs Crochet Hook Tool Set Knitting Hook Set With Box</c:v>
                </c:pt>
                <c:pt idx="5">
                  <c:v>Punch-free Great Load Bearing Bathroom Storage Rack Wall Shelf-White</c:v>
                </c:pt>
                <c:pt idx="6">
                  <c:v>53 Pieces/Set Yarn Knitting Crochet Hooks With Bag - Pansies</c:v>
                </c:pt>
                <c:pt idx="7">
                  <c:v>Portable Mini Cordless Car Vacuum Cleaner - Blue</c:v>
                </c:pt>
                <c:pt idx="8">
                  <c:v>53Pcs/Set Yarn Knitting Crochet Hooks With Bag - Fortune Cat</c:v>
                </c:pt>
              </c:strCache>
            </c:strRef>
          </c:cat>
          <c:val>
            <c:numRef>
              <c:f>Excel_jumia!$D$2:$D$10</c:f>
              <c:numCache>
                <c:formatCode>0%</c:formatCode>
                <c:ptCount val="9"/>
                <c:pt idx="0">
                  <c:v>0.38</c:v>
                </c:pt>
                <c:pt idx="1">
                  <c:v>0.53</c:v>
                </c:pt>
                <c:pt idx="2">
                  <c:v>0.49</c:v>
                </c:pt>
                <c:pt idx="3">
                  <c:v>0.49</c:v>
                </c:pt>
                <c:pt idx="4">
                  <c:v>0.5</c:v>
                </c:pt>
                <c:pt idx="5">
                  <c:v>0.47</c:v>
                </c:pt>
                <c:pt idx="6">
                  <c:v>0.47</c:v>
                </c:pt>
                <c:pt idx="7">
                  <c:v>0.55000000000000004</c:v>
                </c:pt>
                <c:pt idx="8">
                  <c:v>0.48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6-4E8F-8005-A178EB84D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0900384"/>
        <c:axId val="1390900864"/>
      </c:barChart>
      <c:catAx>
        <c:axId val="13909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00864"/>
        <c:crosses val="autoZero"/>
        <c:auto val="1"/>
        <c:lblAlgn val="ctr"/>
        <c:lblOffset val="100"/>
        <c:noMultiLvlLbl val="0"/>
      </c:catAx>
      <c:valAx>
        <c:axId val="13909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9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 &amp; Lowest Rated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Lowest Rated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Excel_jumia!$A$54:$A$58</c:f>
              <c:strCache>
                <c:ptCount val="5"/>
                <c:pt idx="0">
                  <c:v>Bedroom Simple Floor Hanging Clothes Rack Single Pole Hat Rack - White</c:v>
                </c:pt>
                <c:pt idx="1">
                  <c:v>Konka Healty Electric Kettle, 24-hour Heat Preservation,1.5L,800W, White</c:v>
                </c:pt>
                <c:pt idx="2">
                  <c:v>Household Pineapple Peeler Peeler</c:v>
                </c:pt>
                <c:pt idx="3">
                  <c:v>Memory Foam Neck Pillow Cover, With Pillow Core - 50*30cm</c:v>
                </c:pt>
                <c:pt idx="4">
                  <c:v>Wall-mounted Sticker Punch-free Plug Fixer</c:v>
                </c:pt>
              </c:strCache>
            </c:strRef>
          </c:cat>
          <c:val>
            <c:numRef>
              <c:f>Excel_jumia!$H$2:$H$6</c:f>
              <c:numCache>
                <c:formatCode>General</c:formatCode>
                <c:ptCount val="5"/>
                <c:pt idx="0">
                  <c:v>2.8</c:v>
                </c:pt>
                <c:pt idx="1">
                  <c:v>4.5999999999999996</c:v>
                </c:pt>
                <c:pt idx="2">
                  <c:v>4.5999999999999996</c:v>
                </c:pt>
                <c:pt idx="3">
                  <c:v>4.5999999999999996</c:v>
                </c:pt>
                <c:pt idx="4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2-4613-965F-397F59DFCD4A}"/>
            </c:ext>
          </c:extLst>
        </c:ser>
        <c:ser>
          <c:idx val="1"/>
          <c:order val="1"/>
          <c:tx>
            <c:v>Highest Rated+Excel_jumia!$A$54:$A$58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Excel_jumia!$A$54:$A$58</c:f>
              <c:strCache>
                <c:ptCount val="5"/>
                <c:pt idx="0">
                  <c:v>Bedroom Simple Floor Hanging Clothes Rack Single Pole Hat Rack - White</c:v>
                </c:pt>
                <c:pt idx="1">
                  <c:v>Konka Healty Electric Kettle, 24-hour Heat Preservation,1.5L,800W, White</c:v>
                </c:pt>
                <c:pt idx="2">
                  <c:v>Household Pineapple Peeler Peeler</c:v>
                </c:pt>
                <c:pt idx="3">
                  <c:v>Memory Foam Neck Pillow Cover, With Pillow Core - 50*30cm</c:v>
                </c:pt>
                <c:pt idx="4">
                  <c:v>Wall-mounted Sticker Punch-free Plug Fixer</c:v>
                </c:pt>
              </c:strCache>
            </c:strRef>
          </c:cat>
          <c:val>
            <c:numRef>
              <c:f>Excel_jumia!$H$54:$H$58</c:f>
              <c:numCache>
                <c:formatCode>General</c:formatCode>
                <c:ptCount val="5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2-4613-965F-397F59DFC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87906864"/>
        <c:axId val="1429532048"/>
      </c:barChart>
      <c:catAx>
        <c:axId val="128790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532048"/>
        <c:crosses val="autoZero"/>
        <c:auto val="1"/>
        <c:lblAlgn val="ctr"/>
        <c:lblOffset val="100"/>
        <c:noMultiLvlLbl val="0"/>
      </c:catAx>
      <c:valAx>
        <c:axId val="14295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90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204698886161251"/>
          <c:y val="0.36150510111855855"/>
          <c:w val="0.3029778668355359"/>
          <c:h val="0.191711476479947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[Excel_jumia.xlsx]Analysis!PivotTable7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Analysis!$D$21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Analysis!$C$22:$C$25</c:f>
              <c:strCache>
                <c:ptCount val="3"/>
                <c:pt idx="0">
                  <c:v>High Discount</c:v>
                </c:pt>
                <c:pt idx="1">
                  <c:v>Low Discount</c:v>
                </c:pt>
                <c:pt idx="2">
                  <c:v>Medium Discount</c:v>
                </c:pt>
              </c:strCache>
            </c:strRef>
          </c:cat>
          <c:val>
            <c:numRef>
              <c:f>Analysis!$D$22:$D$25</c:f>
              <c:numCache>
                <c:formatCode>General</c:formatCode>
                <c:ptCount val="3"/>
                <c:pt idx="0">
                  <c:v>59</c:v>
                </c:pt>
                <c:pt idx="1">
                  <c:v>18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9-4CA4-93B5-13C649701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Top</a:t>
            </a:r>
            <a:r>
              <a:rPr lang="en-US" baseline="0">
                <a:solidFill>
                  <a:srgbClr val="C00000"/>
                </a:solidFill>
              </a:rPr>
              <a:t> 10 Products by Discount</a:t>
            </a: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Excel_jumia!$A$2:$A$11</c:f>
              <c:strCache>
                <c:ptCount val="10"/>
                <c:pt idx="0">
                  <c:v>120W Cordless Vacuum Cleaners Handheld Electric Vacuum Cleaner</c:v>
                </c:pt>
                <c:pt idx="1">
                  <c:v>137 Pieces Cake Decorating Tool Set Baking Supplies</c:v>
                </c:pt>
                <c:pt idx="2">
                  <c:v>Electronic Digital Display Vernier Caliper</c:v>
                </c:pt>
                <c:pt idx="3">
                  <c:v>3D Waterproof EVA Plastic Shower Curtain 1.8*2Mtrs</c:v>
                </c:pt>
                <c:pt idx="4">
                  <c:v>100 Pcs Crochet Hook Tool Set Knitting Hook Set With Box</c:v>
                </c:pt>
                <c:pt idx="5">
                  <c:v>Punch-free Great Load Bearing Bathroom Storage Rack Wall Shelf-White</c:v>
                </c:pt>
                <c:pt idx="6">
                  <c:v>53 Pieces/Set Yarn Knitting Crochet Hooks With Bag - Pansies</c:v>
                </c:pt>
                <c:pt idx="7">
                  <c:v>Portable Mini Cordless Car Vacuum Cleaner - Blue</c:v>
                </c:pt>
                <c:pt idx="8">
                  <c:v>53Pcs/Set Yarn Knitting Crochet Hooks With Bag - Fortune Cat</c:v>
                </c:pt>
                <c:pt idx="9">
                  <c:v>52 Pieces Cake Decorating Tool Set Gift Kit Baking Supplies</c:v>
                </c:pt>
              </c:strCache>
            </c:strRef>
          </c:cat>
          <c:val>
            <c:numRef>
              <c:f>Excel_jumia!$D$2:$D$11</c:f>
              <c:numCache>
                <c:formatCode>0%</c:formatCode>
                <c:ptCount val="10"/>
                <c:pt idx="0">
                  <c:v>0.38</c:v>
                </c:pt>
                <c:pt idx="1">
                  <c:v>0.53</c:v>
                </c:pt>
                <c:pt idx="2">
                  <c:v>0.49</c:v>
                </c:pt>
                <c:pt idx="3">
                  <c:v>0.49</c:v>
                </c:pt>
                <c:pt idx="4">
                  <c:v>0.5</c:v>
                </c:pt>
                <c:pt idx="5">
                  <c:v>0.47</c:v>
                </c:pt>
                <c:pt idx="6">
                  <c:v>0.47</c:v>
                </c:pt>
                <c:pt idx="7">
                  <c:v>0.55000000000000004</c:v>
                </c:pt>
                <c:pt idx="8">
                  <c:v>0.48</c:v>
                </c:pt>
                <c:pt idx="9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E-4340-A30F-FB716923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5475696"/>
        <c:axId val="1285471856"/>
      </c:barChart>
      <c:catAx>
        <c:axId val="1285475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71856"/>
        <c:crosses val="autoZero"/>
        <c:auto val="1"/>
        <c:lblAlgn val="ctr"/>
        <c:lblOffset val="100"/>
        <c:noMultiLvlLbl val="0"/>
      </c:catAx>
      <c:valAx>
        <c:axId val="128547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7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Top 10 Products by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Excel_jumia!$A$54:$A$63</c:f>
              <c:strCache>
                <c:ptCount val="10"/>
                <c:pt idx="0">
                  <c:v>Bedroom Simple Floor Hanging Clothes Rack Single Pole Hat Rack - White</c:v>
                </c:pt>
                <c:pt idx="1">
                  <c:v>Konka Healty Electric Kettle, 24-hour Heat Preservation,1.5L,800W, White</c:v>
                </c:pt>
                <c:pt idx="2">
                  <c:v>Household Pineapple Peeler Peeler</c:v>
                </c:pt>
                <c:pt idx="3">
                  <c:v>Memory Foam Neck Pillow Cover, With Pillow Core - 50*30cm</c:v>
                </c:pt>
                <c:pt idx="4">
                  <c:v>Wall-mounted Sticker Punch-free Plug Fixer</c:v>
                </c:pt>
                <c:pt idx="5">
                  <c:v>4pcs Bathroom/Kitchen Towel Rack,Roll Paper Holder,Towel Bars,Hook</c:v>
                </c:pt>
                <c:pt idx="6">
                  <c:v>MultiFunctional Storage Rack Multi-layer Booelf</c:v>
                </c:pt>
                <c:pt idx="7">
                  <c:v>LASA Stainless Steel Double Wall Mount Soap Dispenser - 500ml</c:v>
                </c:pt>
                <c:pt idx="8">
                  <c:v>4M Float Switch Water Level Controller -Water Tank</c:v>
                </c:pt>
                <c:pt idx="9">
                  <c:v>Modern Sofa Throw Pillow Cover-45x45cm-Blue&amp;Red</c:v>
                </c:pt>
              </c:strCache>
            </c:strRef>
          </c:cat>
          <c:val>
            <c:numRef>
              <c:f>Excel_jumia!$H$54:$H$63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45-48D4-88C0-D61D447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5470896"/>
        <c:axId val="1285477616"/>
      </c:barChart>
      <c:catAx>
        <c:axId val="128547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77616"/>
        <c:crosses val="autoZero"/>
        <c:auto val="1"/>
        <c:lblAlgn val="ctr"/>
        <c:lblOffset val="100"/>
        <c:noMultiLvlLbl val="0"/>
      </c:catAx>
      <c:valAx>
        <c:axId val="128547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47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Top 10 Products by Review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Excel_jumia!$A$2:$A$11</c:f>
              <c:strCache>
                <c:ptCount val="10"/>
                <c:pt idx="0">
                  <c:v>120W Cordless Vacuum Cleaners Handheld Electric Vacuum Cleaner</c:v>
                </c:pt>
                <c:pt idx="1">
                  <c:v>137 Pieces Cake Decorating Tool Set Baking Supplies</c:v>
                </c:pt>
                <c:pt idx="2">
                  <c:v>Electronic Digital Display Vernier Caliper</c:v>
                </c:pt>
                <c:pt idx="3">
                  <c:v>3D Waterproof EVA Plastic Shower Curtain 1.8*2Mtrs</c:v>
                </c:pt>
                <c:pt idx="4">
                  <c:v>100 Pcs Crochet Hook Tool Set Knitting Hook Set With Box</c:v>
                </c:pt>
                <c:pt idx="5">
                  <c:v>Punch-free Great Load Bearing Bathroom Storage Rack Wall Shelf-White</c:v>
                </c:pt>
                <c:pt idx="6">
                  <c:v>53 Pieces/Set Yarn Knitting Crochet Hooks With Bag - Pansies</c:v>
                </c:pt>
                <c:pt idx="7">
                  <c:v>Portable Mini Cordless Car Vacuum Cleaner - Blue</c:v>
                </c:pt>
                <c:pt idx="8">
                  <c:v>53Pcs/Set Yarn Knitting Crochet Hooks With Bag - Fortune Cat</c:v>
                </c:pt>
                <c:pt idx="9">
                  <c:v>52 Pieces Cake Decorating Tool Set Gift Kit Baking Supplies</c:v>
                </c:pt>
              </c:strCache>
            </c:strRef>
          </c:cat>
          <c:val>
            <c:numRef>
              <c:f>Excel_jumia!$F$2:$F$11</c:f>
              <c:numCache>
                <c:formatCode>General</c:formatCode>
                <c:ptCount val="10"/>
                <c:pt idx="0">
                  <c:v>69</c:v>
                </c:pt>
                <c:pt idx="1">
                  <c:v>55</c:v>
                </c:pt>
                <c:pt idx="2">
                  <c:v>49</c:v>
                </c:pt>
                <c:pt idx="3">
                  <c:v>44</c:v>
                </c:pt>
                <c:pt idx="4">
                  <c:v>39</c:v>
                </c:pt>
                <c:pt idx="5">
                  <c:v>36</c:v>
                </c:pt>
                <c:pt idx="6">
                  <c:v>32</c:v>
                </c:pt>
                <c:pt idx="7">
                  <c:v>24</c:v>
                </c:pt>
                <c:pt idx="8">
                  <c:v>20</c:v>
                </c:pt>
                <c:pt idx="9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0-4295-8D0F-037E09941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827824"/>
        <c:axId val="1425828304"/>
      </c:barChart>
      <c:catAx>
        <c:axId val="142582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28304"/>
        <c:crosses val="autoZero"/>
        <c:auto val="1"/>
        <c:lblAlgn val="ctr"/>
        <c:lblOffset val="100"/>
        <c:noMultiLvlLbl val="0"/>
      </c:catAx>
      <c:valAx>
        <c:axId val="142582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82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Discounts Vs Review(+)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Excel_jumia!$F$1</c:f>
              <c:strCache>
                <c:ptCount val="1"/>
                <c:pt idx="0">
                  <c:v>Review(+)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Excel_jumia!$D$2:$D$116</c:f>
              <c:numCache>
                <c:formatCode>0%</c:formatCode>
                <c:ptCount val="115"/>
                <c:pt idx="0">
                  <c:v>0.38</c:v>
                </c:pt>
                <c:pt idx="1">
                  <c:v>0.53</c:v>
                </c:pt>
                <c:pt idx="2">
                  <c:v>0.49</c:v>
                </c:pt>
                <c:pt idx="3">
                  <c:v>0.49</c:v>
                </c:pt>
                <c:pt idx="4">
                  <c:v>0.5</c:v>
                </c:pt>
                <c:pt idx="5">
                  <c:v>0.47</c:v>
                </c:pt>
                <c:pt idx="6">
                  <c:v>0.47</c:v>
                </c:pt>
                <c:pt idx="7">
                  <c:v>0.55000000000000004</c:v>
                </c:pt>
                <c:pt idx="8">
                  <c:v>0.48</c:v>
                </c:pt>
                <c:pt idx="9">
                  <c:v>0.49</c:v>
                </c:pt>
                <c:pt idx="10">
                  <c:v>0.36</c:v>
                </c:pt>
                <c:pt idx="11">
                  <c:v>0.38</c:v>
                </c:pt>
                <c:pt idx="12">
                  <c:v>0.54</c:v>
                </c:pt>
                <c:pt idx="13">
                  <c:v>0.38</c:v>
                </c:pt>
                <c:pt idx="14">
                  <c:v>0.49</c:v>
                </c:pt>
                <c:pt idx="15">
                  <c:v>0.61</c:v>
                </c:pt>
                <c:pt idx="16">
                  <c:v>0.49</c:v>
                </c:pt>
                <c:pt idx="17">
                  <c:v>0.49</c:v>
                </c:pt>
                <c:pt idx="18">
                  <c:v>0.39</c:v>
                </c:pt>
                <c:pt idx="19">
                  <c:v>0.5</c:v>
                </c:pt>
                <c:pt idx="20">
                  <c:v>0.48</c:v>
                </c:pt>
                <c:pt idx="21">
                  <c:v>0.51</c:v>
                </c:pt>
                <c:pt idx="22">
                  <c:v>0.49</c:v>
                </c:pt>
                <c:pt idx="23">
                  <c:v>0.4</c:v>
                </c:pt>
                <c:pt idx="24">
                  <c:v>0.48</c:v>
                </c:pt>
                <c:pt idx="25">
                  <c:v>0.48</c:v>
                </c:pt>
                <c:pt idx="26">
                  <c:v>0.5</c:v>
                </c:pt>
                <c:pt idx="27">
                  <c:v>0.55000000000000004</c:v>
                </c:pt>
                <c:pt idx="28">
                  <c:v>0.49</c:v>
                </c:pt>
                <c:pt idx="29">
                  <c:v>0.37</c:v>
                </c:pt>
                <c:pt idx="30">
                  <c:v>0.34</c:v>
                </c:pt>
                <c:pt idx="31">
                  <c:v>0.5</c:v>
                </c:pt>
                <c:pt idx="32">
                  <c:v>0.49</c:v>
                </c:pt>
                <c:pt idx="33">
                  <c:v>0.41</c:v>
                </c:pt>
                <c:pt idx="34">
                  <c:v>0.35</c:v>
                </c:pt>
                <c:pt idx="35">
                  <c:v>0.38</c:v>
                </c:pt>
                <c:pt idx="36">
                  <c:v>0.34</c:v>
                </c:pt>
                <c:pt idx="37">
                  <c:v>0.54</c:v>
                </c:pt>
                <c:pt idx="38">
                  <c:v>0.52</c:v>
                </c:pt>
                <c:pt idx="39">
                  <c:v>0.49</c:v>
                </c:pt>
                <c:pt idx="40">
                  <c:v>0.52</c:v>
                </c:pt>
                <c:pt idx="41">
                  <c:v>0.37</c:v>
                </c:pt>
                <c:pt idx="42">
                  <c:v>0.35</c:v>
                </c:pt>
                <c:pt idx="43">
                  <c:v>0.34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0.47</c:v>
                </c:pt>
                <c:pt idx="48">
                  <c:v>0.64</c:v>
                </c:pt>
                <c:pt idx="49">
                  <c:v>0.47</c:v>
                </c:pt>
                <c:pt idx="50">
                  <c:v>0.53</c:v>
                </c:pt>
                <c:pt idx="51">
                  <c:v>0.47</c:v>
                </c:pt>
                <c:pt idx="52">
                  <c:v>0.28999999999999998</c:v>
                </c:pt>
                <c:pt idx="53">
                  <c:v>0.08</c:v>
                </c:pt>
                <c:pt idx="54">
                  <c:v>0.27</c:v>
                </c:pt>
                <c:pt idx="55">
                  <c:v>0.3</c:v>
                </c:pt>
                <c:pt idx="56">
                  <c:v>0.02</c:v>
                </c:pt>
                <c:pt idx="57">
                  <c:v>0.49</c:v>
                </c:pt>
                <c:pt idx="58">
                  <c:v>0.49</c:v>
                </c:pt>
                <c:pt idx="59">
                  <c:v>0.47</c:v>
                </c:pt>
                <c:pt idx="60">
                  <c:v>0.47</c:v>
                </c:pt>
                <c:pt idx="61">
                  <c:v>0.46</c:v>
                </c:pt>
                <c:pt idx="62">
                  <c:v>0.46</c:v>
                </c:pt>
                <c:pt idx="63">
                  <c:v>0.46</c:v>
                </c:pt>
                <c:pt idx="64">
                  <c:v>0.45</c:v>
                </c:pt>
                <c:pt idx="65">
                  <c:v>0.45</c:v>
                </c:pt>
                <c:pt idx="66">
                  <c:v>0.45</c:v>
                </c:pt>
                <c:pt idx="67">
                  <c:v>0.45</c:v>
                </c:pt>
                <c:pt idx="68">
                  <c:v>0.43</c:v>
                </c:pt>
                <c:pt idx="69">
                  <c:v>0.43</c:v>
                </c:pt>
                <c:pt idx="70">
                  <c:v>0.43</c:v>
                </c:pt>
                <c:pt idx="71">
                  <c:v>0.43</c:v>
                </c:pt>
                <c:pt idx="72">
                  <c:v>0.42</c:v>
                </c:pt>
                <c:pt idx="73">
                  <c:v>0.42</c:v>
                </c:pt>
                <c:pt idx="74">
                  <c:v>0.42</c:v>
                </c:pt>
                <c:pt idx="75">
                  <c:v>0.42</c:v>
                </c:pt>
                <c:pt idx="76">
                  <c:v>0.41</c:v>
                </c:pt>
                <c:pt idx="77">
                  <c:v>0.41</c:v>
                </c:pt>
                <c:pt idx="78">
                  <c:v>0.34</c:v>
                </c:pt>
                <c:pt idx="79">
                  <c:v>0.33</c:v>
                </c:pt>
                <c:pt idx="80">
                  <c:v>0.33</c:v>
                </c:pt>
                <c:pt idx="81">
                  <c:v>0.32</c:v>
                </c:pt>
                <c:pt idx="82">
                  <c:v>0.27</c:v>
                </c:pt>
                <c:pt idx="83">
                  <c:v>0.27</c:v>
                </c:pt>
                <c:pt idx="84">
                  <c:v>0.26</c:v>
                </c:pt>
                <c:pt idx="85">
                  <c:v>0.25</c:v>
                </c:pt>
                <c:pt idx="86">
                  <c:v>0.24</c:v>
                </c:pt>
                <c:pt idx="87">
                  <c:v>0.24</c:v>
                </c:pt>
                <c:pt idx="88">
                  <c:v>0.23</c:v>
                </c:pt>
                <c:pt idx="89">
                  <c:v>0.22</c:v>
                </c:pt>
                <c:pt idx="90">
                  <c:v>0.22</c:v>
                </c:pt>
                <c:pt idx="91">
                  <c:v>0.21</c:v>
                </c:pt>
                <c:pt idx="92">
                  <c:v>0.2</c:v>
                </c:pt>
                <c:pt idx="93">
                  <c:v>0.19</c:v>
                </c:pt>
                <c:pt idx="94">
                  <c:v>0.18</c:v>
                </c:pt>
                <c:pt idx="95">
                  <c:v>0.14000000000000001</c:v>
                </c:pt>
                <c:pt idx="96">
                  <c:v>0.14000000000000001</c:v>
                </c:pt>
                <c:pt idx="97">
                  <c:v>0.13</c:v>
                </c:pt>
                <c:pt idx="98">
                  <c:v>0.11</c:v>
                </c:pt>
                <c:pt idx="99">
                  <c:v>0.09</c:v>
                </c:pt>
                <c:pt idx="100">
                  <c:v>0.04</c:v>
                </c:pt>
                <c:pt idx="101">
                  <c:v>0.04</c:v>
                </c:pt>
                <c:pt idx="102">
                  <c:v>0.03</c:v>
                </c:pt>
                <c:pt idx="103">
                  <c:v>0.02</c:v>
                </c:pt>
                <c:pt idx="104">
                  <c:v>0.02</c:v>
                </c:pt>
                <c:pt idx="105">
                  <c:v>0.02</c:v>
                </c:pt>
                <c:pt idx="106">
                  <c:v>0.02</c:v>
                </c:pt>
                <c:pt idx="107">
                  <c:v>0.02</c:v>
                </c:pt>
                <c:pt idx="108">
                  <c:v>0.01</c:v>
                </c:pt>
              </c:numCache>
            </c:numRef>
          </c:xVal>
          <c:yVal>
            <c:numRef>
              <c:f>Excel_jumia!$F$2:$F$116</c:f>
              <c:numCache>
                <c:formatCode>General</c:formatCode>
                <c:ptCount val="115"/>
                <c:pt idx="0">
                  <c:v>69</c:v>
                </c:pt>
                <c:pt idx="1">
                  <c:v>55</c:v>
                </c:pt>
                <c:pt idx="2">
                  <c:v>49</c:v>
                </c:pt>
                <c:pt idx="3">
                  <c:v>44</c:v>
                </c:pt>
                <c:pt idx="4">
                  <c:v>39</c:v>
                </c:pt>
                <c:pt idx="5">
                  <c:v>36</c:v>
                </c:pt>
                <c:pt idx="6">
                  <c:v>32</c:v>
                </c:pt>
                <c:pt idx="7">
                  <c:v>24</c:v>
                </c:pt>
                <c:pt idx="8">
                  <c:v>20</c:v>
                </c:pt>
                <c:pt idx="9">
                  <c:v>20</c:v>
                </c:pt>
                <c:pt idx="10">
                  <c:v>17</c:v>
                </c:pt>
                <c:pt idx="11">
                  <c:v>16</c:v>
                </c:pt>
                <c:pt idx="12">
                  <c:v>15</c:v>
                </c:pt>
                <c:pt idx="13">
                  <c:v>15</c:v>
                </c:pt>
                <c:pt idx="14">
                  <c:v>14</c:v>
                </c:pt>
                <c:pt idx="15">
                  <c:v>14</c:v>
                </c:pt>
                <c:pt idx="16">
                  <c:v>13</c:v>
                </c:pt>
                <c:pt idx="17">
                  <c:v>13</c:v>
                </c:pt>
                <c:pt idx="18">
                  <c:v>13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10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6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C4-49B5-94F4-8A37AAD00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524176"/>
        <c:axId val="1285517456"/>
      </c:scatterChart>
      <c:valAx>
        <c:axId val="128552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17456"/>
        <c:crosses val="autoZero"/>
        <c:crossBetween val="midCat"/>
      </c:valAx>
      <c:valAx>
        <c:axId val="128551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524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[Excel_jumia.xlsx]Analysis!PivotTable5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C6-4685-B69E-6A46831A83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C6-4685-B69E-6A46831A83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C6-4685-B69E-6A46831A836B}"/>
              </c:ext>
            </c:extLst>
          </c:dPt>
          <c:cat>
            <c:strRef>
              <c:f>Analysis!$A$22:$A$25</c:f>
              <c:strCache>
                <c:ptCount val="3"/>
                <c:pt idx="0">
                  <c:v>Average</c:v>
                </c:pt>
                <c:pt idx="1">
                  <c:v>Excellent</c:v>
                </c:pt>
                <c:pt idx="2">
                  <c:v>Poor</c:v>
                </c:pt>
              </c:strCache>
            </c:strRef>
          </c:cat>
          <c:val>
            <c:numRef>
              <c:f>Analysis!$B$22:$B$25</c:f>
              <c:numCache>
                <c:formatCode>General</c:formatCode>
                <c:ptCount val="3"/>
                <c:pt idx="0">
                  <c:v>22</c:v>
                </c:pt>
                <c:pt idx="1">
                  <c:v>75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C6-4685-B69E-6A46831A8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[Excel_jumia.xlsx]Analysis!PivotTable7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Analysis!$D$21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0D-43F8-9711-48247248CCBC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0D-43F8-9711-48247248CCBC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0D-43F8-9711-48247248CCBC}"/>
              </c:ext>
            </c:extLst>
          </c:dPt>
          <c:cat>
            <c:strRef>
              <c:f>Analysis!$C$22:$C$25</c:f>
              <c:strCache>
                <c:ptCount val="3"/>
                <c:pt idx="0">
                  <c:v>High Discount</c:v>
                </c:pt>
                <c:pt idx="1">
                  <c:v>Low Discount</c:v>
                </c:pt>
                <c:pt idx="2">
                  <c:v>Medium Discount</c:v>
                </c:pt>
              </c:strCache>
            </c:strRef>
          </c:cat>
          <c:val>
            <c:numRef>
              <c:f>Analysis!$D$22:$D$25</c:f>
              <c:numCache>
                <c:formatCode>General</c:formatCode>
                <c:ptCount val="3"/>
                <c:pt idx="0">
                  <c:v>59</c:v>
                </c:pt>
                <c:pt idx="1">
                  <c:v>18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F0D-43F8-9711-48247248C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1314450</xdr:colOff>
      <xdr:row>17</xdr:row>
      <xdr:rowOff>66675</xdr:rowOff>
    </xdr:from>
    <xdr:to>
      <xdr:col>8</xdr:col>
      <xdr:colOff>361950</xdr:colOff>
      <xdr:row>30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4CE77D-4D77-7DDF-A25C-C9E8A66CB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85725</xdr:colOff>
      <xdr:row>33</xdr:row>
      <xdr:rowOff>47625</xdr:rowOff>
    </xdr:from>
    <xdr:to>
      <xdr:col>8</xdr:col>
      <xdr:colOff>542925</xdr:colOff>
      <xdr:row>47</xdr:row>
      <xdr:rowOff>123825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7791496-0D12-4215-0A7E-F0A0D8590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466725</xdr:colOff>
      <xdr:row>1</xdr:row>
      <xdr:rowOff>123825</xdr:rowOff>
    </xdr:from>
    <xdr:to>
      <xdr:col>13</xdr:col>
      <xdr:colOff>161925</xdr:colOff>
      <xdr:row>16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FFDB1B-02DC-7176-5EDE-21400DEE7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452437</xdr:colOff>
      <xdr:row>35</xdr:row>
      <xdr:rowOff>104775</xdr:rowOff>
    </xdr:from>
    <xdr:to>
      <xdr:col>2</xdr:col>
      <xdr:colOff>1219200</xdr:colOff>
      <xdr:row>54</xdr:row>
      <xdr:rowOff>161925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2EC79F31-FD63-5361-318B-5E1DB2AE2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419100</xdr:colOff>
      <xdr:row>17</xdr:row>
      <xdr:rowOff>19050</xdr:rowOff>
    </xdr:from>
    <xdr:to>
      <xdr:col>13</xdr:col>
      <xdr:colOff>304800</xdr:colOff>
      <xdr:row>30</xdr:row>
      <xdr:rowOff>133349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56CB2-28F7-7C44-0AE0-C041A9A5E8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</xdr:colOff>
      <xdr:row>6</xdr:row>
      <xdr:rowOff>57150</xdr:rowOff>
    </xdr:from>
    <xdr:to>
      <xdr:col>3</xdr:col>
      <xdr:colOff>328612</xdr:colOff>
      <xdr:row>20</xdr:row>
      <xdr:rowOff>133350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94EA7456-F995-4F09-2CE1-A5E56D0280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640866</xdr:colOff>
      <xdr:row>6</xdr:row>
      <xdr:rowOff>79514</xdr:rowOff>
    </xdr:from>
    <xdr:to>
      <xdr:col>10</xdr:col>
      <xdr:colOff>431316</xdr:colOff>
      <xdr:row>20</xdr:row>
      <xdr:rowOff>155713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598A8D12-BD10-64A3-936A-25E1C826B9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194847</xdr:colOff>
      <xdr:row>6</xdr:row>
      <xdr:rowOff>73301</xdr:rowOff>
    </xdr:from>
    <xdr:to>
      <xdr:col>18</xdr:col>
      <xdr:colOff>563423</xdr:colOff>
      <xdr:row>21</xdr:row>
      <xdr:rowOff>21121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4BAD1447-2CDE-6C4E-CEC2-E7D18F4F6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22</xdr:row>
      <xdr:rowOff>0</xdr:rowOff>
    </xdr:from>
    <xdr:to>
      <xdr:col>3</xdr:col>
      <xdr:colOff>428625</xdr:colOff>
      <xdr:row>36</xdr:row>
      <xdr:rowOff>76200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7502933-5D10-4954-B770-508D5A883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628650</xdr:colOff>
      <xdr:row>21</xdr:row>
      <xdr:rowOff>171450</xdr:rowOff>
    </xdr:from>
    <xdr:to>
      <xdr:col>10</xdr:col>
      <xdr:colOff>419100</xdr:colOff>
      <xdr:row>36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2DCC88-389F-415F-BDA0-DB6C662BE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22</xdr:row>
      <xdr:rowOff>0</xdr:rowOff>
    </xdr:from>
    <xdr:to>
      <xdr:col>17</xdr:col>
      <xdr:colOff>533400</xdr:colOff>
      <xdr:row>36</xdr:row>
      <xdr:rowOff>66675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DF7D0A1-D994-47E9-8D07-72C8CB3C4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dy Odhiambo" refreshedDate="46110.983346180554" createdVersion="8" refreshedVersion="8" minRefreshableVersion="3" recordCount="109" xr:uid="{15C6211C-039B-458D-A5C0-24FC1B3B1CBC}">
  <cacheSource type="worksheet">
    <worksheetSource ref="A1:K110" sheet="Excel_jumia"/>
  </cacheSource>
  <cacheFields count="11">
    <cacheField name="Product" numFmtId="0">
      <sharedItems count="109">
        <s v="115  Piece Set Of Multifunctional Precision Screwdrivers"/>
        <s v="Metal Decorative Hooks Key Hangers Entryway Wall Hooks Towel Hooks - Home"/>
        <s v="Portable Mini Cordless Car Vacuum Cleaner - Blue"/>
        <s v="Weighing Scale Digital Bathroom Body Fat Scale USB-Black"/>
        <s v="Portable Home Small Air Humidifier 3-Speed Fan - Green"/>
        <s v="220V 60W Electric Soldering Iron Kits With Tools, Tips, And Multimeter"/>
        <s v="137 Pieces Cake Decorating Tool Set Baking Supplies"/>
        <s v="Desk Foldable Fan Adjustable Fan Strong Wind 3 Gear Usb"/>
        <s v="LASA FOLDING TABLE SERVING STAND"/>
        <s v="13 In 1 Home Repair Tools Box Kit Set"/>
        <s v="Genebre 115 In 1 Screwdriver Repairing Tool Set For IPhone Cellphone Hand Tool"/>
        <s v="100 Pcs Crochet Hook Tool Set Knitting Hook Set With Box"/>
        <s v="40cm Gold DIY Acrylic Wall Sticker Clock"/>
        <s v="LASA Digital Thermometer And Hydrometer"/>
        <s v="Multifunction Laser Level With Adjustment Tripod"/>
        <s v="Anti-Skid Absorbent Insulation Coaster  For Home Office"/>
        <s v="Peacock  Throw Pillow Cushion Case For Home Car"/>
        <s v="LASA Aluminum Folding Truck Hand Cart - 68kg Max"/>
        <s v="LED Wall Digital Alarm Clock Study Home 12 / 24H Clock Calendar"/>
        <s v="3D Waterproof EVA Plastic Shower Curtain 1.8*2Mtrs"/>
        <s v="3PCS Single Head Knitting Crochet Sweater Needle Set"/>
        <s v="4pcs Bathroom/Kitchen Towel Rack,Roll Paper Holder,Towel Bars,Hook"/>
        <s v="LED Romantic Spaceship Starry Sky Projector,Children's Bedroom Night Light-Blue"/>
        <s v="Foldable Overbed Table/Desk"/>
        <s v="LASA 3 Tier Bamboo Shoe Bench Storage Shelf"/>
        <s v="Electronic Digital Display Vernier Caliper"/>
        <s v="Portable Wardrobe Nonwoven With 3 Hanging Rods And 6 Storage Shelves"/>
        <s v="12 Litre Black Insulated Lunch Box"/>
        <s v="52 Pieces Cake Decorating Tool Set Gift Kit Baking Supplies"/>
        <s v="MultiFunctional Storage Rack Multi-layer Booelf"/>
        <s v="Exfoliate And Exfoliate Face Towel - Black"/>
        <s v="12 Litre Insulated Lunch Box Grey"/>
        <s v="LED Eye Protection  Desk Lamp , Study, Reading, USB Fan - Double Pen Holder"/>
        <s v="53Pcs/Set Yarn Knitting Crochet Hooks With Bag - Fortune Cat"/>
        <s v="53 Pieces/Set Yarn Knitting Crochet Hooks With Bag - Pansies"/>
        <s v="DIY File Folder, Office Drawer File Holder, Pen Holder, Desktop Storage Rack"/>
        <s v="Classic Black Cat Cotton Hemp Pillow Case For Home Car"/>
        <s v="Punch-free Great Load Bearing Bathroom Storage Rack Wall Shelf-White"/>
        <s v="1/2/3 Seater Elastic Sofa Cover,Living Room/Home Decor Chair Cover-Grey"/>
        <s v="LASA Stainless Steel Double Wall Mount Soap Dispenser - 500ml"/>
        <s v="4M Float Switch Water Level Controller -Water Tank"/>
        <s v="Modern Sofa Throw Pillow Cover-45x45cm-Blue&amp;Red"/>
        <s v="Balloon Insert, Birthday Party Balloon Set, PU Leather"/>
        <s v="Shower Cap Wide Elastic Band Cover Reusable Bashroom Cap"/>
        <s v="Christmas Elk Fence Yard Lawn Decorations Cute For Holidays"/>
        <s v="60W Hot Melt Glue Sprayer - Efficient And Stable Glue Dispensing"/>
        <s v="Car Phone Charging Stand"/>
        <s v="2pcs Solar Street Light Flood Light Outdoor"/>
        <s v="Creative Owl Shape Keychain Black"/>
        <s v="Brush &amp; Paintbrush Cleaning Tool Pink"/>
        <s v="Pen Grips For Kids Pen Grip Posture Correction Tool For Kids"/>
        <s v="Pilates Cloth Bag Waterproof Durable High Capacity Purple"/>
        <s v="Multi-purpose Rice Drainage Basket And Fruit And Vegetable Drainage Sieve"/>
        <s v="Cute Christmas Fence Garden Decorations For Holiday Home"/>
        <s v="Simple Metal Dog Art Sculpture Decoration For Home Office"/>
        <s v="Christmas Fence Garden Decorations Outdoor For Holiday Home"/>
        <s v="Angle Measuring Tool Full Metal Multi Angle Measuring Tool"/>
        <s v="12V 19500rpm Handheld Electric Angle Grinder Tool - UK - Yellow/Black"/>
        <s v="5 Pieces/set Of Stainless Steel Induction Cooker Pots"/>
        <s v="Mythco 120COB Solar Wall Ligt With Motion Sensor And Remote Control 3 Modes"/>
        <s v="5-PCS Stainless Steel Cooking Pot Set With Steamed Slices"/>
        <s v="120W Cordless Vacuum Cleaners Handheld Electric Vacuum Cleaner"/>
        <s v="Intelligent  LED Body Sensor Wireless Lighting Night Light USB"/>
        <s v="VIC Wireless Vacuum Cleaner Dual Use For Home And Car 120W High Power Powerful"/>
        <s v="Artificial Potted Flowers Room Decorative Flowers (2 Pieces)"/>
        <s v="380ML USB Rechargeable Portable Small Blenders And Juicers"/>
        <s v="32PCS Portable Cordless Drill Set With Cyclic Battery Drive -26 Variable Speed"/>
        <s v="Agapeon Toothbrush Holder And Toothpaste Dispenser"/>
        <s v="Large Lazy Inflatable Sofa Chairs PVC Lounger Seat Bag"/>
        <s v="Watercolour Gold Foil Textured Print Pillow Cover"/>
        <s v="Wrought Iron Bathroom Shelf Wall Mounted Free Punch Toilet Rack"/>
        <s v="7-piece Set Of Storage Bags, Travel Storage Bags, Shoe Bags"/>
        <s v="Electric LED UV Mosquito Killer Lamp, Outdoor/Indoor Fly Killer Trap Light -USB"/>
        <s v="2PCS/LOT Solar LED Outdoor Intelligent Light Controlled Wall Lamp"/>
        <s v="3PCS Rotary Scraper Thermomix For Kitchen"/>
        <s v="Cushion Silicone Butt Cushion Summer Ice Cushion Honeycomb Gel Cushion"/>
        <s v="7PCS Silicone Thumb Knife Finger Protector Vegetable Harvesting Knife"/>
        <s v="Memory Foam Neck Pillow Cover, With Pillow Core - 50*30cm"/>
        <s v="Bedroom Simple Floor Hanging Clothes Rack Single Pole Hat Rack - White"/>
        <s v="5m Waterproof Spherical LED String Lights Outdoor Ball Chain Lights Party Lighting Decoration Adjustable"/>
        <s v="2 Pairs Cowhide Split Leather Work Gloves.32â„‰ Or Above Welding Gloves"/>
        <s v="Household Pineapple Peeler Peeler"/>
        <s v="Office Chair Lumbar Back Support Spine Posture Correction Pillow Car Cushion"/>
        <s v="Cartoon Car Decoration Cute Individuality For Car Home Desk"/>
        <s v="Outdoor Portable Water Bottle With Medicine Box - 600ML - Black"/>
        <s v="Wall-Mounted Toothbrush Toothpaste Holder With Multiple Slots"/>
        <s v="Multifunctional Hanging Storage Box Storage Bag (4 Layers)"/>
        <s v="Wall Clock With Hidden Safe Box"/>
        <s v="Portable Wine Table With Folding Round Table"/>
        <s v="Sewing Machine Needle Threader Stitch Insertion Tool Automatic Quick Sewing"/>
        <s v="6 Layers Steel Pipe Assembling Dustproof Storage Shoe Cabinet"/>
        <s v="2PCS Ice Silk Square Cushion Cover Pillowcases - 65x65cm"/>
        <s v="Wall Mount Automatic Toothpaste Dispenser Toothbrush Holder Toothpaste Squeezer"/>
        <s v="Portable Soap Dispenser Kitchen Detergent Press Box Kitchen Tools"/>
        <s v="4 Piece Coloured Stainless Steel Kitchenware Set"/>
        <s v="Metal Wall Clock Silver Dial Crystal Jewelry Round Home Decoration Wall Clock"/>
        <s v="Baby Early Education Shape And Color Cognitive Training Toys"/>
        <s v="8in1 Screwdriver With LED Light"/>
        <s v="Konka Healty Electric Kettle, 24-hour Heat Preservation,1.5L,800W, White"/>
        <s v="9pcs Gas Mask, For Painting, Dust, Formaldehyde Grinding, Polishing"/>
        <s v="24 Grid Wall-mounted Sundries Organiser Fabric Closet Bag Storage Rack"/>
        <s v="1PC Refrigerator Food Seal Pocket Fridge Bags"/>
        <s v="LED Solar Street Light-fake Camera"/>
        <s v="Cartoon Embroidered Mini Towel Bear Cotton Wash Cloth Hand 4pcs"/>
        <s v="Shower Nozzle Cleaning Unclogging Needle Mini Crevice Small Hole Cleaning Brush"/>
        <s v="Thickening Multipurpose Non Stick Easy To Clean Heat Resistant Spoon Pad"/>
        <s v="6 In 1 Bottle Can Opener Multifunctional Easy Opener"/>
        <s v="Wall-mounted Sticker Punch-free Plug Fixer"/>
        <s v="Black Simple Water Cup Wine Coaster Anti Slip Absorbent"/>
      </sharedItems>
    </cacheField>
    <cacheField name="Current price" numFmtId="2">
      <sharedItems containsMixedTypes="1" containsNumber="1" containsInteger="1" minValue="38" maxValue="3750" count="100">
        <n v="950"/>
        <n v="527"/>
        <n v="2199"/>
        <n v="1580"/>
        <n v="1740"/>
        <n v="2999"/>
        <n v="2319"/>
        <n v="988"/>
        <n v="1274"/>
        <n v="1600"/>
        <n v="799"/>
        <n v="990"/>
        <n v="552"/>
        <n v="501"/>
        <n v="1680"/>
        <n v="332"/>
        <n v="195"/>
        <n v="2025"/>
        <n v="998"/>
        <n v="38"/>
        <n v="1860"/>
        <n v="880"/>
        <n v="1650"/>
        <n v="2048"/>
        <n v="420"/>
        <n v="2880"/>
        <n v="1350"/>
        <n v="1758"/>
        <n v="2200"/>
        <n v="185"/>
        <n v="980"/>
        <n v="1820"/>
        <n v="1940"/>
        <n v="1980"/>
        <n v="1620"/>
        <n v="171"/>
        <n v="389"/>
        <s v=" 1,620 -  1,980"/>
        <n v="2750"/>
        <n v="475"/>
        <n v="238"/>
        <n v="610"/>
        <n v="2132"/>
        <n v="999"/>
        <n v="1190"/>
        <n v="671"/>
        <n v="1200"/>
        <n v="199"/>
        <n v="299"/>
        <n v="1660"/>
        <n v="1459"/>
        <n v="499"/>
        <n v="699"/>
        <n v="2799"/>
        <n v="2170"/>
        <n v="458"/>
        <n v="2115"/>
        <n v="445"/>
        <n v="325"/>
        <n v="1220"/>
        <n v="1000"/>
        <n v="3750"/>
        <n v="382"/>
        <n v="2300"/>
        <n v="345"/>
        <n v="509"/>
        <n v="968"/>
        <n v="1570"/>
        <n v="790"/>
        <n v="690"/>
        <n v="1732"/>
        <n v="230"/>
        <n v="1189"/>
        <n v="979"/>
        <n v="1460"/>
        <n v="1666"/>
        <n v="330"/>
        <n v="1466"/>
        <n v="274"/>
        <n v="1468"/>
        <n v="630"/>
        <n v="850"/>
        <n v="1300"/>
        <n v="105"/>
        <n v="899"/>
        <n v="1526"/>
        <n v="1462"/>
        <n v="248"/>
        <n v="3546"/>
        <n v="525"/>
        <n v="1080"/>
        <n v="3640"/>
        <n v="1420"/>
        <n v="1875"/>
        <n v="198"/>
        <n v="1150"/>
        <n v="1658"/>
        <n v="1768"/>
        <n v="450"/>
        <n v="169"/>
      </sharedItems>
    </cacheField>
    <cacheField name="old price" numFmtId="2">
      <sharedItems containsMixedTypes="1" containsNumber="1" containsInteger="1" minValue="80" maxValue="6143" count="90">
        <n v="1525"/>
        <n v="999"/>
        <n v="2923"/>
        <n v="2499"/>
        <n v="2356"/>
        <n v="3290"/>
        <n v="3032"/>
        <n v="1580"/>
        <n v="2800"/>
        <n v="2929"/>
        <n v="1500"/>
        <n v="1035"/>
        <n v="860"/>
        <n v="684"/>
        <n v="360"/>
        <n v="3971"/>
        <n v="3699"/>
        <n v="1966"/>
        <n v="80"/>
        <n v="3220"/>
        <n v="1350"/>
        <n v="2150"/>
        <n v="4500"/>
        <n v="647"/>
        <n v="3520"/>
        <n v="1990"/>
        <n v="4080"/>
        <n v="382"/>
        <n v="1490"/>
        <n v="3490"/>
        <n v="2650"/>
        <n v="2699"/>
        <n v="2690"/>
        <n v="656"/>
        <s v=" 2,200 -  3,200"/>
        <n v="4471"/>
        <n v="931"/>
        <n v="476"/>
        <n v="1060"/>
        <n v="2169"/>
        <n v="2000"/>
        <n v="1785"/>
        <n v="1316"/>
        <n v="1950"/>
        <n v="504"/>
        <n v="600"/>
        <n v="1699"/>
        <n v="384"/>
        <n v="1499"/>
        <n v="1343"/>
        <n v="900"/>
        <n v="1567"/>
        <n v="3810"/>
        <n v="2500"/>
        <n v="986"/>
        <n v="4700"/>
        <n v="873"/>
        <n v="680"/>
        <n v="1555"/>
        <n v="1814"/>
        <n v="6143"/>
        <n v="700"/>
        <n v="3240"/>
        <n v="602"/>
        <n v="899"/>
        <n v="2988"/>
        <n v="1485"/>
        <n v="1200"/>
        <n v="1799"/>
        <n v="450"/>
        <n v="2199"/>
        <n v="1920"/>
        <n v="2290"/>
        <n v="537"/>
        <n v="1100"/>
        <n v="1700"/>
        <n v="200"/>
        <n v="2400"/>
        <n v="1660"/>
        <n v="486"/>
        <n v="1029"/>
        <n v="1874"/>
        <n v="4588"/>
        <n v="2420"/>
        <n v="1899"/>
        <n v="260"/>
        <n v="1737"/>
        <n v="1810"/>
        <n v="553"/>
        <n v="320"/>
      </sharedItems>
    </cacheField>
    <cacheField name="Discount" numFmtId="9">
      <sharedItems containsSemiMixedTypes="0" containsString="0" containsNumber="1" minValue="0.01" maxValue="0.64"/>
    </cacheField>
    <cacheField name="Review" numFmtId="0">
      <sharedItems containsString="0" containsBlank="1" containsNumber="1" containsInteger="1" minValue="-69" maxValue="-1"/>
    </cacheField>
    <cacheField name="Review(+)" numFmtId="0">
      <sharedItems containsSemiMixedTypes="0" containsString="0" containsNumber="1" containsInteger="1" minValue="0" maxValue="69"/>
    </cacheField>
    <cacheField name="Ratings" numFmtId="0">
      <sharedItems containsBlank="1"/>
    </cacheField>
    <cacheField name="Numeric Rating" numFmtId="0">
      <sharedItems containsMixedTypes="1" containsNumber="1" minValue="2" maxValue="5"/>
    </cacheField>
    <cacheField name="Discount Amount" numFmtId="2">
      <sharedItems containsMixedTypes="1" containsNumber="1" containsInteger="1" minValue="24" maxValue="2585"/>
    </cacheField>
    <cacheField name="Rating Category" numFmtId="0">
      <sharedItems count="3">
        <s v="Excellent"/>
        <s v="Average"/>
        <s v="Poor"/>
      </sharedItems>
    </cacheField>
    <cacheField name="Discount Category" numFmtId="0">
      <sharedItems count="3">
        <s v="Medium Discount"/>
        <s v="High Discount"/>
        <s v="Low Discoun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x v="0"/>
    <x v="0"/>
    <n v="0.38"/>
    <n v="-2"/>
    <n v="2"/>
    <s v="4.5 out of 5"/>
    <n v="4.5"/>
    <n v="575"/>
    <x v="0"/>
    <x v="0"/>
  </r>
  <r>
    <x v="1"/>
    <x v="1"/>
    <x v="1"/>
    <n v="0.47"/>
    <n v="-14"/>
    <n v="14"/>
    <s v="4.1 out of 5"/>
    <n v="4.0999999999999996"/>
    <n v="472"/>
    <x v="1"/>
    <x v="1"/>
  </r>
  <r>
    <x v="2"/>
    <x v="2"/>
    <x v="2"/>
    <n v="0.25"/>
    <n v="-24"/>
    <n v="24"/>
    <s v="4.6 out of 5"/>
    <n v="4.5999999999999996"/>
    <n v="724"/>
    <x v="0"/>
    <x v="0"/>
  </r>
  <r>
    <x v="3"/>
    <x v="3"/>
    <x v="3"/>
    <n v="0.37"/>
    <n v="-7"/>
    <n v="7"/>
    <s v="4.7 out of 5"/>
    <n v="4.7"/>
    <n v="919"/>
    <x v="0"/>
    <x v="0"/>
  </r>
  <r>
    <x v="4"/>
    <x v="4"/>
    <x v="4"/>
    <n v="0.26"/>
    <n v="-5"/>
    <n v="5"/>
    <s v="4.8 out of 5"/>
    <n v="4.8"/>
    <n v="616"/>
    <x v="0"/>
    <x v="0"/>
  </r>
  <r>
    <x v="5"/>
    <x v="5"/>
    <x v="5"/>
    <n v="0.09"/>
    <n v="-15"/>
    <n v="15"/>
    <s v="4 out of 5"/>
    <n v="4"/>
    <n v="291"/>
    <x v="1"/>
    <x v="2"/>
  </r>
  <r>
    <x v="6"/>
    <x v="6"/>
    <x v="6"/>
    <n v="0.24"/>
    <n v="-55"/>
    <n v="55"/>
    <s v="4.6 out of 5"/>
    <n v="4.5999999999999996"/>
    <n v="713"/>
    <x v="0"/>
    <x v="0"/>
  </r>
  <r>
    <x v="7"/>
    <x v="7"/>
    <x v="7"/>
    <n v="0.37"/>
    <n v="-2"/>
    <n v="2"/>
    <s v="4 out of 5"/>
    <n v="4"/>
    <n v="592"/>
    <x v="1"/>
    <x v="0"/>
  </r>
  <r>
    <x v="8"/>
    <x v="8"/>
    <x v="8"/>
    <n v="0.55000000000000004"/>
    <n v="-5"/>
    <n v="5"/>
    <s v="4.8 out of 5"/>
    <n v="4.8"/>
    <n v="1526"/>
    <x v="0"/>
    <x v="1"/>
  </r>
  <r>
    <x v="9"/>
    <x v="9"/>
    <x v="9"/>
    <n v="0.45"/>
    <n v="-5"/>
    <n v="5"/>
    <s v="3.8 out of 5"/>
    <n v="3.8"/>
    <n v="1329"/>
    <x v="1"/>
    <x v="1"/>
  </r>
  <r>
    <x v="10"/>
    <x v="10"/>
    <x v="1"/>
    <n v="0.2"/>
    <n v="-12"/>
    <n v="12"/>
    <s v="4.1 out of 5"/>
    <n v="4.0999999999999996"/>
    <n v="200"/>
    <x v="1"/>
    <x v="0"/>
  </r>
  <r>
    <x v="11"/>
    <x v="11"/>
    <x v="10"/>
    <n v="0.34"/>
    <n v="-39"/>
    <n v="39"/>
    <s v="4.7 out of 5"/>
    <n v="4.7"/>
    <n v="510"/>
    <x v="0"/>
    <x v="0"/>
  </r>
  <r>
    <x v="12"/>
    <x v="12"/>
    <x v="11"/>
    <n v="0.47"/>
    <n v="-12"/>
    <n v="12"/>
    <s v="4.8 out of 5"/>
    <n v="4.8"/>
    <n v="483"/>
    <x v="0"/>
    <x v="1"/>
  </r>
  <r>
    <x v="13"/>
    <x v="13"/>
    <x v="12"/>
    <n v="0.42"/>
    <n v="-6"/>
    <n v="6"/>
    <s v="4.5 out of 5"/>
    <n v="4.5"/>
    <n v="359"/>
    <x v="0"/>
    <x v="1"/>
  </r>
  <r>
    <x v="14"/>
    <x v="14"/>
    <x v="3"/>
    <n v="0.33"/>
    <n v="-9"/>
    <n v="9"/>
    <s v="4.2 out of 5"/>
    <n v="4.2"/>
    <n v="819"/>
    <x v="1"/>
    <x v="0"/>
  </r>
  <r>
    <x v="15"/>
    <x v="15"/>
    <x v="13"/>
    <n v="0.51"/>
    <n v="-2"/>
    <n v="2"/>
    <s v="5 out of 5"/>
    <n v="5"/>
    <n v="352"/>
    <x v="0"/>
    <x v="1"/>
  </r>
  <r>
    <x v="16"/>
    <x v="16"/>
    <x v="14"/>
    <n v="0.46"/>
    <n v="-2"/>
    <n v="2"/>
    <s v="5 out of 5"/>
    <n v="5"/>
    <n v="165"/>
    <x v="0"/>
    <x v="1"/>
  </r>
  <r>
    <x v="17"/>
    <x v="17"/>
    <x v="15"/>
    <n v="0.49"/>
    <n v="-3"/>
    <n v="3"/>
    <s v="5 out of 5"/>
    <n v="5"/>
    <n v="1946"/>
    <x v="0"/>
    <x v="1"/>
  </r>
  <r>
    <x v="18"/>
    <x v="5"/>
    <x v="16"/>
    <n v="0.19"/>
    <n v="-5"/>
    <n v="5"/>
    <s v="4.6 out of 5"/>
    <n v="4.5999999999999996"/>
    <n v="700"/>
    <x v="0"/>
    <x v="2"/>
  </r>
  <r>
    <x v="19"/>
    <x v="18"/>
    <x v="17"/>
    <n v="0.49"/>
    <n v="-44"/>
    <n v="44"/>
    <s v="4.6 out of 5"/>
    <n v="4.5999999999999996"/>
    <n v="968"/>
    <x v="0"/>
    <x v="1"/>
  </r>
  <r>
    <x v="20"/>
    <x v="19"/>
    <x v="18"/>
    <n v="0.53"/>
    <n v="-13"/>
    <n v="13"/>
    <s v="3.3 out of 5"/>
    <n v="3.3"/>
    <n v="42"/>
    <x v="1"/>
    <x v="1"/>
  </r>
  <r>
    <x v="21"/>
    <x v="20"/>
    <x v="19"/>
    <n v="0.42"/>
    <m/>
    <n v="0"/>
    <m/>
    <s v=""/>
    <n v="1360"/>
    <x v="0"/>
    <x v="1"/>
  </r>
  <r>
    <x v="22"/>
    <x v="21"/>
    <x v="20"/>
    <n v="0.35"/>
    <n v="-6"/>
    <n v="6"/>
    <s v="4 out of 5"/>
    <n v="4"/>
    <n v="470"/>
    <x v="1"/>
    <x v="0"/>
  </r>
  <r>
    <x v="23"/>
    <x v="22"/>
    <x v="21"/>
    <n v="0.23"/>
    <n v="-14"/>
    <n v="14"/>
    <s v="4.4 out of 5"/>
    <n v="4.4000000000000004"/>
    <n v="500"/>
    <x v="1"/>
    <x v="0"/>
  </r>
  <r>
    <x v="24"/>
    <x v="23"/>
    <x v="22"/>
    <n v="0.54"/>
    <n v="-7"/>
    <n v="7"/>
    <s v="4.3 out of 5"/>
    <n v="4.3"/>
    <n v="2452"/>
    <x v="1"/>
    <x v="1"/>
  </r>
  <r>
    <x v="25"/>
    <x v="24"/>
    <x v="23"/>
    <n v="0.35"/>
    <n v="-49"/>
    <n v="49"/>
    <s v="4.6 out of 5"/>
    <n v="4.5999999999999996"/>
    <n v="227"/>
    <x v="0"/>
    <x v="0"/>
  </r>
  <r>
    <x v="26"/>
    <x v="25"/>
    <x v="24"/>
    <n v="0.18"/>
    <n v="-12"/>
    <n v="12"/>
    <s v="3.8 out of 5"/>
    <n v="3.8"/>
    <n v="640"/>
    <x v="1"/>
    <x v="2"/>
  </r>
  <r>
    <x v="27"/>
    <x v="26"/>
    <x v="25"/>
    <n v="0.32"/>
    <n v="-13"/>
    <n v="13"/>
    <s v="3.8 out of 5"/>
    <n v="3.8"/>
    <n v="640"/>
    <x v="1"/>
    <x v="0"/>
  </r>
  <r>
    <x v="28"/>
    <x v="27"/>
    <x v="3"/>
    <n v="0.3"/>
    <n v="-20"/>
    <n v="20"/>
    <s v="4.1 out of 5"/>
    <n v="4.0999999999999996"/>
    <n v="741"/>
    <x v="1"/>
    <x v="0"/>
  </r>
  <r>
    <x v="29"/>
    <x v="28"/>
    <x v="26"/>
    <n v="0.46"/>
    <m/>
    <n v="0"/>
    <m/>
    <s v=""/>
    <n v="1880"/>
    <x v="0"/>
    <x v="1"/>
  </r>
  <r>
    <x v="30"/>
    <x v="29"/>
    <x v="27"/>
    <n v="0.52"/>
    <n v="-9"/>
    <n v="9"/>
    <s v="4.3 out of 5"/>
    <n v="4.3"/>
    <n v="197"/>
    <x v="1"/>
    <x v="1"/>
  </r>
  <r>
    <x v="31"/>
    <x v="30"/>
    <x v="28"/>
    <n v="0.34"/>
    <n v="-12"/>
    <n v="12"/>
    <s v="4.7 out of 5"/>
    <n v="4.7"/>
    <n v="510"/>
    <x v="0"/>
    <x v="0"/>
  </r>
  <r>
    <x v="32"/>
    <x v="31"/>
    <x v="29"/>
    <n v="0.48"/>
    <n v="-9"/>
    <n v="9"/>
    <s v="4.3 out of 5"/>
    <n v="4.3"/>
    <n v="1670"/>
    <x v="1"/>
    <x v="1"/>
  </r>
  <r>
    <x v="33"/>
    <x v="32"/>
    <x v="30"/>
    <n v="0.27"/>
    <n v="-20"/>
    <n v="20"/>
    <s v="4.7 out of 5"/>
    <n v="4.7"/>
    <n v="710"/>
    <x v="0"/>
    <x v="0"/>
  </r>
  <r>
    <x v="34"/>
    <x v="33"/>
    <x v="31"/>
    <n v="0.27"/>
    <n v="-32"/>
    <n v="32"/>
    <s v="4.5 out of 5"/>
    <n v="4.5"/>
    <n v="719"/>
    <x v="0"/>
    <x v="0"/>
  </r>
  <r>
    <x v="35"/>
    <x v="34"/>
    <x v="32"/>
    <n v="0.4"/>
    <n v="-1"/>
    <n v="1"/>
    <s v="5 out of 5"/>
    <n v="5"/>
    <n v="1070"/>
    <x v="0"/>
    <x v="0"/>
  </r>
  <r>
    <x v="36"/>
    <x v="35"/>
    <x v="14"/>
    <n v="0.53"/>
    <n v="-2"/>
    <n v="2"/>
    <s v="5 out of 5"/>
    <n v="5"/>
    <n v="189"/>
    <x v="0"/>
    <x v="1"/>
  </r>
  <r>
    <x v="37"/>
    <x v="36"/>
    <x v="33"/>
    <n v="0.41"/>
    <n v="-36"/>
    <n v="36"/>
    <s v="4.3 out of 5"/>
    <n v="4.3"/>
    <n v="267"/>
    <x v="1"/>
    <x v="1"/>
  </r>
  <r>
    <x v="38"/>
    <x v="37"/>
    <x v="34"/>
    <n v="0.38"/>
    <n v="-2"/>
    <n v="2"/>
    <s v="4.5 out of 5"/>
    <n v="4.5"/>
    <e v="#VALUE!"/>
    <x v="0"/>
    <x v="0"/>
  </r>
  <r>
    <x v="39"/>
    <x v="38"/>
    <x v="35"/>
    <n v="0.38"/>
    <m/>
    <n v="0"/>
    <m/>
    <s v=""/>
    <n v="1721"/>
    <x v="0"/>
    <x v="0"/>
  </r>
  <r>
    <x v="40"/>
    <x v="39"/>
    <x v="36"/>
    <n v="0.49"/>
    <m/>
    <n v="0"/>
    <m/>
    <s v=""/>
    <n v="456"/>
    <x v="0"/>
    <x v="1"/>
  </r>
  <r>
    <x v="41"/>
    <x v="40"/>
    <x v="37"/>
    <n v="0.5"/>
    <m/>
    <n v="0"/>
    <m/>
    <s v=""/>
    <n v="238"/>
    <x v="0"/>
    <x v="1"/>
  </r>
  <r>
    <x v="42"/>
    <x v="41"/>
    <x v="38"/>
    <n v="0.42"/>
    <m/>
    <n v="0"/>
    <m/>
    <s v=""/>
    <n v="450"/>
    <x v="0"/>
    <x v="1"/>
  </r>
  <r>
    <x v="43"/>
    <x v="42"/>
    <x v="39"/>
    <n v="0.02"/>
    <m/>
    <n v="0"/>
    <m/>
    <s v=""/>
    <n v="37"/>
    <x v="0"/>
    <x v="2"/>
  </r>
  <r>
    <x v="44"/>
    <x v="43"/>
    <x v="40"/>
    <n v="0.5"/>
    <m/>
    <n v="0"/>
    <m/>
    <s v=""/>
    <n v="1001"/>
    <x v="0"/>
    <x v="1"/>
  </r>
  <r>
    <x v="45"/>
    <x v="44"/>
    <x v="41"/>
    <n v="0.33"/>
    <m/>
    <n v="0"/>
    <m/>
    <s v=""/>
    <n v="595"/>
    <x v="0"/>
    <x v="0"/>
  </r>
  <r>
    <x v="46"/>
    <x v="45"/>
    <x v="42"/>
    <n v="0.49"/>
    <m/>
    <n v="0"/>
    <m/>
    <s v=""/>
    <n v="645"/>
    <x v="0"/>
    <x v="1"/>
  </r>
  <r>
    <x v="47"/>
    <x v="46"/>
    <x v="43"/>
    <n v="0.38"/>
    <m/>
    <n v="0"/>
    <m/>
    <s v=""/>
    <n v="750"/>
    <x v="0"/>
    <x v="0"/>
  </r>
  <r>
    <x v="48"/>
    <x v="47"/>
    <x v="44"/>
    <n v="0.61"/>
    <m/>
    <n v="0"/>
    <m/>
    <s v=""/>
    <n v="305"/>
    <x v="0"/>
    <x v="1"/>
  </r>
  <r>
    <x v="49"/>
    <x v="48"/>
    <x v="45"/>
    <n v="0.5"/>
    <m/>
    <n v="0"/>
    <m/>
    <s v=""/>
    <n v="301"/>
    <x v="0"/>
    <x v="1"/>
  </r>
  <r>
    <x v="50"/>
    <x v="49"/>
    <x v="46"/>
    <n v="0.02"/>
    <m/>
    <n v="0"/>
    <m/>
    <s v=""/>
    <n v="39"/>
    <x v="0"/>
    <x v="2"/>
  </r>
  <r>
    <x v="51"/>
    <x v="48"/>
    <x v="47"/>
    <n v="0.22"/>
    <m/>
    <n v="0"/>
    <m/>
    <s v=""/>
    <n v="85"/>
    <x v="0"/>
    <x v="0"/>
  </r>
  <r>
    <x v="52"/>
    <x v="50"/>
    <x v="48"/>
    <n v="0.03"/>
    <m/>
    <n v="0"/>
    <m/>
    <s v=""/>
    <n v="40"/>
    <x v="0"/>
    <x v="2"/>
  </r>
  <r>
    <x v="53"/>
    <x v="10"/>
    <x v="49"/>
    <n v="0.41"/>
    <m/>
    <n v="0"/>
    <m/>
    <s v=""/>
    <n v="544"/>
    <x v="0"/>
    <x v="1"/>
  </r>
  <r>
    <x v="54"/>
    <x v="51"/>
    <x v="50"/>
    <n v="0.45"/>
    <m/>
    <n v="0"/>
    <m/>
    <s v=""/>
    <n v="401"/>
    <x v="0"/>
    <x v="1"/>
  </r>
  <r>
    <x v="55"/>
    <x v="52"/>
    <x v="49"/>
    <n v="0.48"/>
    <m/>
    <n v="0"/>
    <m/>
    <s v=""/>
    <n v="644"/>
    <x v="0"/>
    <x v="1"/>
  </r>
  <r>
    <x v="56"/>
    <x v="10"/>
    <x v="51"/>
    <n v="0.49"/>
    <m/>
    <n v="0"/>
    <m/>
    <s v=""/>
    <n v="768"/>
    <x v="0"/>
    <x v="1"/>
  </r>
  <r>
    <x v="57"/>
    <x v="53"/>
    <x v="52"/>
    <n v="0.27"/>
    <m/>
    <n v="0"/>
    <m/>
    <s v=""/>
    <n v="1011"/>
    <x v="0"/>
    <x v="0"/>
  </r>
  <r>
    <x v="58"/>
    <x v="54"/>
    <x v="53"/>
    <n v="0.13"/>
    <n v="-6"/>
    <n v="6"/>
    <s v="2.5 out of 5"/>
    <n v="2.5"/>
    <n v="330"/>
    <x v="2"/>
    <x v="2"/>
  </r>
  <r>
    <x v="59"/>
    <x v="55"/>
    <x v="54"/>
    <n v="0.54"/>
    <n v="-10"/>
    <n v="10"/>
    <s v="3 out of 5"/>
    <n v="3"/>
    <n v="528"/>
    <x v="1"/>
    <x v="1"/>
  </r>
  <r>
    <x v="60"/>
    <x v="56"/>
    <x v="55"/>
    <n v="0.55000000000000004"/>
    <n v="-13"/>
    <n v="13"/>
    <s v="2.1 out of 5"/>
    <n v="2.1"/>
    <n v="2585"/>
    <x v="2"/>
    <x v="1"/>
  </r>
  <r>
    <x v="61"/>
    <x v="57"/>
    <x v="56"/>
    <n v="0.49"/>
    <n v="-69"/>
    <n v="69"/>
    <s v="2.8 out of 5"/>
    <n v="2.8"/>
    <n v="428"/>
    <x v="2"/>
    <x v="1"/>
  </r>
  <r>
    <x v="62"/>
    <x v="58"/>
    <x v="57"/>
    <n v="0.52"/>
    <n v="-15"/>
    <n v="15"/>
    <s v="2.7 out of 5"/>
    <n v="2.7"/>
    <n v="355"/>
    <x v="2"/>
    <x v="1"/>
  </r>
  <r>
    <x v="63"/>
    <x v="59"/>
    <x v="58"/>
    <n v="0.22"/>
    <n v="-16"/>
    <n v="16"/>
    <s v="2.9 out of 5"/>
    <n v="2.9"/>
    <n v="335"/>
    <x v="2"/>
    <x v="0"/>
  </r>
  <r>
    <x v="64"/>
    <x v="11"/>
    <x v="59"/>
    <n v="0.45"/>
    <n v="-6"/>
    <n v="6"/>
    <s v="2.2 out of 5"/>
    <n v="2.2000000000000002"/>
    <n v="824"/>
    <x v="2"/>
    <x v="1"/>
  </r>
  <r>
    <x v="65"/>
    <x v="60"/>
    <x v="40"/>
    <n v="0.5"/>
    <n v="-7"/>
    <n v="7"/>
    <s v="2.3 out of 5"/>
    <n v="2.2999999999999998"/>
    <n v="1000"/>
    <x v="2"/>
    <x v="1"/>
  </r>
  <r>
    <x v="66"/>
    <x v="61"/>
    <x v="60"/>
    <n v="0.39"/>
    <n v="-5"/>
    <n v="5"/>
    <s v="3 out of 5"/>
    <n v="3"/>
    <n v="2393"/>
    <x v="1"/>
    <x v="0"/>
  </r>
  <r>
    <x v="67"/>
    <x v="62"/>
    <x v="61"/>
    <n v="0.45"/>
    <n v="-17"/>
    <n v="17"/>
    <s v="2.6 out of 5"/>
    <n v="2.6"/>
    <n v="318"/>
    <x v="2"/>
    <x v="1"/>
  </r>
  <r>
    <x v="68"/>
    <x v="63"/>
    <x v="62"/>
    <n v="0.28999999999999998"/>
    <n v="-5"/>
    <n v="5"/>
    <s v="3 out of 5"/>
    <n v="3"/>
    <n v="940"/>
    <x v="1"/>
    <x v="0"/>
  </r>
  <r>
    <x v="69"/>
    <x v="64"/>
    <x v="63"/>
    <n v="0.43"/>
    <n v="-6"/>
    <n v="6"/>
    <s v="2.3 out of 5"/>
    <n v="2.2999999999999998"/>
    <n v="257"/>
    <x v="2"/>
    <x v="1"/>
  </r>
  <r>
    <x v="70"/>
    <x v="65"/>
    <x v="64"/>
    <n v="0.43"/>
    <n v="-5"/>
    <n v="5"/>
    <s v="3 out of 5"/>
    <n v="3"/>
    <n v="390"/>
    <x v="1"/>
    <x v="1"/>
  </r>
  <r>
    <x v="71"/>
    <x v="66"/>
    <x v="59"/>
    <n v="0.47"/>
    <n v="-6"/>
    <n v="6"/>
    <s v="2.2 out of 5"/>
    <n v="2.2000000000000002"/>
    <n v="846"/>
    <x v="2"/>
    <x v="1"/>
  </r>
  <r>
    <x v="72"/>
    <x v="67"/>
    <x v="65"/>
    <n v="0.47"/>
    <n v="-7"/>
    <n v="7"/>
    <s v="2.1 out of 5"/>
    <n v="2.1"/>
    <n v="1418"/>
    <x v="2"/>
    <x v="1"/>
  </r>
  <r>
    <x v="73"/>
    <x v="68"/>
    <x v="66"/>
    <n v="0.47"/>
    <m/>
    <n v="0"/>
    <m/>
    <s v=""/>
    <n v="695"/>
    <x v="0"/>
    <x v="1"/>
  </r>
  <r>
    <x v="74"/>
    <x v="69"/>
    <x v="67"/>
    <n v="0.43"/>
    <m/>
    <n v="0"/>
    <m/>
    <s v=""/>
    <n v="510"/>
    <x v="0"/>
    <x v="1"/>
  </r>
  <r>
    <x v="75"/>
    <x v="70"/>
    <x v="68"/>
    <n v="0.04"/>
    <m/>
    <n v="0"/>
    <m/>
    <s v=""/>
    <n v="67"/>
    <x v="0"/>
    <x v="2"/>
  </r>
  <r>
    <x v="76"/>
    <x v="71"/>
    <x v="69"/>
    <n v="0.49"/>
    <m/>
    <n v="0"/>
    <m/>
    <s v=""/>
    <n v="220"/>
    <x v="0"/>
    <x v="1"/>
  </r>
  <r>
    <x v="77"/>
    <x v="72"/>
    <x v="70"/>
    <n v="0.46"/>
    <n v="-1"/>
    <n v="1"/>
    <s v="3 out of 5"/>
    <n v="3"/>
    <n v="1010"/>
    <x v="1"/>
    <x v="1"/>
  </r>
  <r>
    <x v="78"/>
    <x v="73"/>
    <x v="71"/>
    <n v="0.49"/>
    <n v="-1"/>
    <n v="1"/>
    <s v="5 out of 5"/>
    <n v="5"/>
    <n v="941"/>
    <x v="0"/>
    <x v="1"/>
  </r>
  <r>
    <x v="79"/>
    <x v="74"/>
    <x v="72"/>
    <n v="0.36"/>
    <m/>
    <n v="0"/>
    <m/>
    <s v=""/>
    <n v="830"/>
    <x v="0"/>
    <x v="0"/>
  </r>
  <r>
    <x v="80"/>
    <x v="75"/>
    <x v="46"/>
    <n v="0.02"/>
    <m/>
    <n v="0"/>
    <m/>
    <s v=""/>
    <n v="33"/>
    <x v="0"/>
    <x v="2"/>
  </r>
  <r>
    <x v="81"/>
    <x v="76"/>
    <x v="23"/>
    <n v="0.49"/>
    <n v="-1"/>
    <n v="1"/>
    <s v="4 out of 5"/>
    <n v="4"/>
    <n v="317"/>
    <x v="1"/>
    <x v="1"/>
  </r>
  <r>
    <x v="82"/>
    <x v="77"/>
    <x v="46"/>
    <n v="0.14000000000000001"/>
    <m/>
    <n v="0"/>
    <m/>
    <s v=""/>
    <n v="233"/>
    <x v="0"/>
    <x v="2"/>
  </r>
  <r>
    <x v="83"/>
    <x v="78"/>
    <x v="73"/>
    <n v="0.49"/>
    <m/>
    <n v="0"/>
    <m/>
    <s v=""/>
    <n v="263"/>
    <x v="0"/>
    <x v="1"/>
  </r>
  <r>
    <x v="84"/>
    <x v="10"/>
    <x v="50"/>
    <n v="0.11"/>
    <m/>
    <n v="0"/>
    <m/>
    <s v=""/>
    <n v="101"/>
    <x v="0"/>
    <x v="2"/>
  </r>
  <r>
    <x v="85"/>
    <x v="79"/>
    <x v="46"/>
    <n v="0.14000000000000001"/>
    <m/>
    <n v="0"/>
    <m/>
    <s v=""/>
    <n v="231"/>
    <x v="0"/>
    <x v="2"/>
  </r>
  <r>
    <x v="86"/>
    <x v="80"/>
    <x v="74"/>
    <n v="0.43"/>
    <m/>
    <n v="0"/>
    <m/>
    <s v=""/>
    <n v="470"/>
    <x v="0"/>
    <x v="1"/>
  </r>
  <r>
    <x v="87"/>
    <x v="81"/>
    <x v="75"/>
    <n v="0.5"/>
    <m/>
    <n v="0"/>
    <m/>
    <s v=""/>
    <n v="850"/>
    <x v="0"/>
    <x v="1"/>
  </r>
  <r>
    <x v="88"/>
    <x v="82"/>
    <x v="53"/>
    <n v="0.48"/>
    <m/>
    <n v="0"/>
    <m/>
    <s v=""/>
    <n v="1200"/>
    <x v="0"/>
    <x v="1"/>
  </r>
  <r>
    <x v="89"/>
    <x v="83"/>
    <x v="76"/>
    <n v="0.48"/>
    <m/>
    <n v="0"/>
    <m/>
    <s v=""/>
    <n v="95"/>
    <x v="0"/>
    <x v="1"/>
  </r>
  <r>
    <x v="90"/>
    <x v="84"/>
    <x v="46"/>
    <n v="0.47"/>
    <m/>
    <n v="0"/>
    <m/>
    <s v=""/>
    <n v="800"/>
    <x v="0"/>
    <x v="1"/>
  </r>
  <r>
    <x v="91"/>
    <x v="46"/>
    <x v="77"/>
    <n v="0.5"/>
    <m/>
    <n v="0"/>
    <m/>
    <s v=""/>
    <n v="1200"/>
    <x v="0"/>
    <x v="1"/>
  </r>
  <r>
    <x v="92"/>
    <x v="85"/>
    <x v="78"/>
    <n v="0.08"/>
    <m/>
    <n v="0"/>
    <m/>
    <s v=""/>
    <n v="134"/>
    <x v="0"/>
    <x v="2"/>
  </r>
  <r>
    <x v="93"/>
    <x v="86"/>
    <x v="48"/>
    <n v="0.02"/>
    <m/>
    <n v="0"/>
    <m/>
    <s v=""/>
    <n v="37"/>
    <x v="0"/>
    <x v="2"/>
  </r>
  <r>
    <x v="94"/>
    <x v="87"/>
    <x v="79"/>
    <n v="0.49"/>
    <m/>
    <n v="0"/>
    <m/>
    <s v=""/>
    <n v="238"/>
    <x v="0"/>
    <x v="1"/>
  </r>
  <r>
    <x v="95"/>
    <x v="88"/>
    <x v="16"/>
    <n v="0.04"/>
    <m/>
    <n v="0"/>
    <m/>
    <s v=""/>
    <n v="153"/>
    <x v="0"/>
    <x v="2"/>
  </r>
  <r>
    <x v="96"/>
    <x v="89"/>
    <x v="80"/>
    <n v="0.49"/>
    <m/>
    <n v="0"/>
    <m/>
    <s v=""/>
    <n v="504"/>
    <x v="0"/>
    <x v="1"/>
  </r>
  <r>
    <x v="97"/>
    <x v="90"/>
    <x v="81"/>
    <n v="0.42"/>
    <m/>
    <n v="0"/>
    <m/>
    <s v=""/>
    <n v="794"/>
    <x v="0"/>
    <x v="1"/>
  </r>
  <r>
    <x v="98"/>
    <x v="91"/>
    <x v="82"/>
    <n v="0.21"/>
    <n v="-1"/>
    <n v="1"/>
    <s v="5 out of 5"/>
    <n v="5"/>
    <n v="948"/>
    <x v="0"/>
    <x v="0"/>
  </r>
  <r>
    <x v="99"/>
    <x v="92"/>
    <x v="83"/>
    <n v="0.41"/>
    <m/>
    <n v="0"/>
    <m/>
    <s v=""/>
    <n v="1000"/>
    <x v="0"/>
    <x v="1"/>
  </r>
  <r>
    <x v="100"/>
    <x v="93"/>
    <x v="84"/>
    <n v="0.01"/>
    <m/>
    <n v="0"/>
    <m/>
    <s v=""/>
    <n v="24"/>
    <x v="0"/>
    <x v="2"/>
  </r>
  <r>
    <x v="101"/>
    <x v="94"/>
    <x v="85"/>
    <n v="0.24"/>
    <m/>
    <n v="0"/>
    <m/>
    <s v=""/>
    <n v="62"/>
    <x v="0"/>
    <x v="0"/>
  </r>
  <r>
    <x v="102"/>
    <x v="95"/>
    <x v="86"/>
    <n v="0.34"/>
    <m/>
    <n v="0"/>
    <m/>
    <s v=""/>
    <n v="587"/>
    <x v="0"/>
    <x v="0"/>
  </r>
  <r>
    <x v="103"/>
    <x v="44"/>
    <x v="87"/>
    <n v="0.34"/>
    <m/>
    <n v="0"/>
    <m/>
    <s v=""/>
    <n v="620"/>
    <x v="0"/>
    <x v="0"/>
  </r>
  <r>
    <x v="104"/>
    <x v="96"/>
    <x v="46"/>
    <n v="0.02"/>
    <m/>
    <n v="0"/>
    <m/>
    <s v=""/>
    <n v="41"/>
    <x v="0"/>
    <x v="2"/>
  </r>
  <r>
    <x v="105"/>
    <x v="97"/>
    <x v="68"/>
    <n v="0.02"/>
    <m/>
    <n v="0"/>
    <m/>
    <s v=""/>
    <n v="31"/>
    <x v="0"/>
    <x v="2"/>
  </r>
  <r>
    <x v="106"/>
    <x v="47"/>
    <x v="88"/>
    <n v="0.64"/>
    <m/>
    <n v="0"/>
    <m/>
    <s v=""/>
    <n v="354"/>
    <x v="0"/>
    <x v="1"/>
  </r>
  <r>
    <x v="107"/>
    <x v="98"/>
    <x v="50"/>
    <n v="0.5"/>
    <n v="-1"/>
    <n v="1"/>
    <s v="2 out of 5"/>
    <n v="2"/>
    <n v="450"/>
    <x v="2"/>
    <x v="1"/>
  </r>
  <r>
    <x v="108"/>
    <x v="99"/>
    <x v="89"/>
    <n v="0.47"/>
    <m/>
    <n v="0"/>
    <m/>
    <s v=""/>
    <n v="151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13DEC-AF39-4CBF-8864-4A18EA2EAA4E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C21:D25" firstHeaderRow="1" firstDataRow="1" firstDataCol="1"/>
  <pivotFields count="11">
    <pivotField dataField="1"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" fld="0" subtotal="count" baseField="0" baseItem="0"/>
  </dataFields>
  <formats count="6">
    <format dxfId="5">
      <pivotArea field="10" type="button" dataOnly="0" labelOnly="1" outline="0" axis="axisRow" fieldPosition="0"/>
    </format>
    <format dxfId="4">
      <pivotArea dataOnly="0" labelOnly="1" outline="0" axis="axisValues" fieldPosition="0"/>
    </format>
    <format dxfId="3">
      <pivotArea field="10" type="button" dataOnly="0" labelOnly="1" outline="0" axis="axisRow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9F6C7A-9EFE-4597-9AF9-992D66723C01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C33" firstHeaderRow="0" firstDataRow="1" firstDataCol="1"/>
  <pivotFields count="11">
    <pivotField showAll="0"/>
    <pivotField showAll="0"/>
    <pivotField showAll="0"/>
    <pivotField numFmtId="9" showAll="0"/>
    <pivotField showAll="0"/>
    <pivotField dataField="1"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view(+)" fld="5" subtotal="average" baseField="10" baseItem="0"/>
    <dataField name="Average of Numeric Rating" fld="7" subtotal="average" baseField="10" baseItem="0"/>
  </dataFields>
  <formats count="10">
    <format dxfId="14">
      <pivotArea outline="0" collapsedLevelsAreSubtotals="1" fieldPosition="0"/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10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field="10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grandRow="1" outline="0" collapsedLevelsAreSubtotals="1" fieldPosition="0"/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C84822-309E-44A0-88F8-4A7E621BC744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1:B25" firstHeaderRow="1" firstDataRow="1" firstDataCol="1"/>
  <pivotFields count="11">
    <pivotField dataField="1"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" fld="0" subtotal="count" baseField="0" baseItem="0"/>
  </dataFields>
  <formats count="6">
    <format dxfId="26">
      <pivotArea field="9" type="button" dataOnly="0" labelOnly="1" outline="0" axis="axisRow" fieldPosition="0"/>
    </format>
    <format dxfId="25">
      <pivotArea dataOnly="0" labelOnly="1" outline="0" axis="axisValues" fieldPosition="0"/>
    </format>
    <format dxfId="24">
      <pivotArea field="9" type="button" dataOnly="0" labelOnly="1" outline="0" axis="axisRow" fieldPosition="0"/>
    </format>
    <format dxfId="23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C2C458-5429-4296-B9A4-17F8549C68CA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17" firstHeaderRow="0" firstDataRow="1" firstDataCol="1"/>
  <pivotFields count="11">
    <pivotField showAll="0"/>
    <pivotField showAll="0"/>
    <pivotField showAll="0"/>
    <pivotField dataField="1" numFmtId="9"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1"/>
        <item x="2"/>
        <item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Discount" fld="3" subtotal="average" baseField="10" baseItem="0" numFmtId="9"/>
    <dataField name="Average of Numeric Rating" fld="7" subtotal="average" baseField="10" baseItem="0"/>
  </dataFields>
  <formats count="9">
    <format dxfId="30">
      <pivotArea field="10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field="10" type="button" dataOnly="0" labelOnly="1" outline="0" axis="axisRow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grandRow="1" outline="0" collapsedLevelsAreSubtotals="1" fieldPosition="0"/>
    </format>
    <format dxfId="21">
      <pivotArea dataOnly="0" labelOnly="1" grandRow="1" outline="0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6">
      <pivotArea collapsedLevelsAreSubtotals="1" fieldPosition="0">
        <references count="2">
          <reference field="4294967294" count="1" selected="0">
            <x v="1"/>
          </reference>
          <reference field="1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4DC82-21F2-46E9-A053-BA18A8ED181C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1">
    <pivotField showAll="0">
      <items count="110">
        <item x="38"/>
        <item x="11"/>
        <item x="0"/>
        <item x="27"/>
        <item x="31"/>
        <item x="61"/>
        <item x="57"/>
        <item x="9"/>
        <item x="6"/>
        <item x="101"/>
        <item x="80"/>
        <item x="5"/>
        <item x="100"/>
        <item x="91"/>
        <item x="47"/>
        <item x="73"/>
        <item x="66"/>
        <item x="65"/>
        <item x="19"/>
        <item x="74"/>
        <item x="20"/>
        <item x="94"/>
        <item x="12"/>
        <item x="40"/>
        <item x="21"/>
        <item x="58"/>
        <item x="28"/>
        <item x="34"/>
        <item x="33"/>
        <item x="79"/>
        <item x="60"/>
        <item x="106"/>
        <item x="90"/>
        <item x="45"/>
        <item x="76"/>
        <item x="71"/>
        <item x="97"/>
        <item x="99"/>
        <item x="67"/>
        <item x="56"/>
        <item x="15"/>
        <item x="64"/>
        <item x="96"/>
        <item x="42"/>
        <item x="78"/>
        <item x="108"/>
        <item x="49"/>
        <item x="46"/>
        <item x="83"/>
        <item x="103"/>
        <item x="44"/>
        <item x="55"/>
        <item x="36"/>
        <item x="48"/>
        <item x="75"/>
        <item x="53"/>
        <item x="7"/>
        <item x="35"/>
        <item x="72"/>
        <item x="25"/>
        <item x="30"/>
        <item x="23"/>
        <item x="10"/>
        <item x="81"/>
        <item x="62"/>
        <item x="98"/>
        <item x="68"/>
        <item x="24"/>
        <item x="17"/>
        <item x="13"/>
        <item x="8"/>
        <item x="39"/>
        <item x="32"/>
        <item x="22"/>
        <item x="102"/>
        <item x="18"/>
        <item x="77"/>
        <item x="1"/>
        <item x="95"/>
        <item x="41"/>
        <item x="14"/>
        <item x="86"/>
        <item x="29"/>
        <item x="52"/>
        <item x="59"/>
        <item x="82"/>
        <item x="84"/>
        <item x="16"/>
        <item x="50"/>
        <item x="51"/>
        <item x="4"/>
        <item x="2"/>
        <item x="93"/>
        <item x="26"/>
        <item x="88"/>
        <item x="37"/>
        <item x="89"/>
        <item x="43"/>
        <item x="104"/>
        <item x="54"/>
        <item x="105"/>
        <item x="63"/>
        <item x="87"/>
        <item x="92"/>
        <item x="107"/>
        <item x="85"/>
        <item x="69"/>
        <item x="3"/>
        <item x="70"/>
        <item t="default"/>
      </items>
    </pivotField>
    <pivotField dataField="1" showAll="0">
      <items count="101">
        <item x="19"/>
        <item x="83"/>
        <item x="99"/>
        <item x="35"/>
        <item x="29"/>
        <item x="16"/>
        <item x="94"/>
        <item x="47"/>
        <item x="71"/>
        <item x="40"/>
        <item x="87"/>
        <item x="78"/>
        <item x="48"/>
        <item x="58"/>
        <item x="76"/>
        <item x="15"/>
        <item x="64"/>
        <item x="62"/>
        <item x="36"/>
        <item x="24"/>
        <item x="57"/>
        <item x="98"/>
        <item x="55"/>
        <item x="39"/>
        <item x="51"/>
        <item x="13"/>
        <item x="65"/>
        <item x="89"/>
        <item x="1"/>
        <item x="12"/>
        <item x="41"/>
        <item x="80"/>
        <item x="45"/>
        <item x="69"/>
        <item x="52"/>
        <item x="68"/>
        <item x="10"/>
        <item x="81"/>
        <item x="21"/>
        <item x="84"/>
        <item x="0"/>
        <item x="66"/>
        <item x="73"/>
        <item x="30"/>
        <item x="7"/>
        <item x="11"/>
        <item x="18"/>
        <item x="43"/>
        <item x="60"/>
        <item x="90"/>
        <item x="95"/>
        <item x="72"/>
        <item x="44"/>
        <item x="46"/>
        <item x="59"/>
        <item x="8"/>
        <item x="82"/>
        <item x="26"/>
        <item x="92"/>
        <item x="50"/>
        <item x="74"/>
        <item x="86"/>
        <item x="77"/>
        <item x="79"/>
        <item x="85"/>
        <item x="67"/>
        <item x="3"/>
        <item x="9"/>
        <item x="34"/>
        <item x="22"/>
        <item x="96"/>
        <item x="49"/>
        <item x="75"/>
        <item x="14"/>
        <item x="70"/>
        <item x="4"/>
        <item x="27"/>
        <item x="97"/>
        <item x="31"/>
        <item x="20"/>
        <item x="93"/>
        <item x="32"/>
        <item x="33"/>
        <item x="17"/>
        <item x="23"/>
        <item x="56"/>
        <item x="42"/>
        <item x="54"/>
        <item x="2"/>
        <item x="28"/>
        <item x="63"/>
        <item x="6"/>
        <item x="38"/>
        <item x="53"/>
        <item x="25"/>
        <item x="5"/>
        <item x="88"/>
        <item x="91"/>
        <item x="61"/>
        <item x="37"/>
        <item t="default"/>
      </items>
    </pivotField>
    <pivotField dataField="1" showAll="0">
      <items count="91">
        <item x="18"/>
        <item x="76"/>
        <item x="85"/>
        <item x="89"/>
        <item x="14"/>
        <item x="27"/>
        <item x="47"/>
        <item x="69"/>
        <item x="37"/>
        <item x="79"/>
        <item x="44"/>
        <item x="73"/>
        <item x="88"/>
        <item x="45"/>
        <item x="63"/>
        <item x="23"/>
        <item x="33"/>
        <item x="57"/>
        <item x="13"/>
        <item x="61"/>
        <item x="12"/>
        <item x="56"/>
        <item x="64"/>
        <item x="50"/>
        <item x="36"/>
        <item x="54"/>
        <item x="1"/>
        <item x="80"/>
        <item x="11"/>
        <item x="38"/>
        <item x="74"/>
        <item x="67"/>
        <item x="42"/>
        <item x="49"/>
        <item x="20"/>
        <item x="66"/>
        <item x="28"/>
        <item x="48"/>
        <item x="10"/>
        <item x="0"/>
        <item x="58"/>
        <item x="51"/>
        <item x="7"/>
        <item x="78"/>
        <item x="46"/>
        <item x="75"/>
        <item x="86"/>
        <item x="41"/>
        <item x="68"/>
        <item x="87"/>
        <item x="59"/>
        <item x="81"/>
        <item x="84"/>
        <item x="71"/>
        <item x="43"/>
        <item x="17"/>
        <item x="25"/>
        <item x="40"/>
        <item x="21"/>
        <item x="39"/>
        <item x="70"/>
        <item x="72"/>
        <item x="4"/>
        <item x="77"/>
        <item x="83"/>
        <item x="3"/>
        <item x="53"/>
        <item x="30"/>
        <item x="32"/>
        <item x="31"/>
        <item x="8"/>
        <item x="2"/>
        <item x="9"/>
        <item x="65"/>
        <item x="6"/>
        <item x="19"/>
        <item x="62"/>
        <item x="5"/>
        <item x="29"/>
        <item x="24"/>
        <item x="16"/>
        <item x="52"/>
        <item x="15"/>
        <item x="26"/>
        <item x="35"/>
        <item x="22"/>
        <item x="82"/>
        <item x="55"/>
        <item x="60"/>
        <item x="34"/>
        <item t="default"/>
      </items>
    </pivotField>
    <pivotField dataField="1" numFmtId="9"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urrent price" fld="1" subtotal="average" baseField="0" baseItem="1"/>
    <dataField name="Average of old price" fld="2" subtotal="average" baseField="0" baseItem="1"/>
    <dataField name="Average of Discount" fld="3" subtotal="average" baseField="0" baseItem="1" numFmtId="9"/>
    <dataField name="Average of Numeric Rating" fld="7" subtotal="average" baseField="0" baseItem="1"/>
  </dataFields>
  <formats count="5">
    <format dxfId="33">
      <pivotArea type="all" dataOnly="0" outline="0" fieldPosition="0"/>
    </format>
    <format dxfId="34">
      <pivotArea outline="0" collapsedLevelsAreSubtotals="1" fieldPosition="0"/>
    </format>
    <format dxfId="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93B9B-5B0E-48A8-9FFA-7F2F5D5CB3B0}">
  <dimension ref="A3:D33"/>
  <sheetViews>
    <sheetView topLeftCell="A8" workbookViewId="0">
      <selection activeCell="C21" sqref="C21"/>
    </sheetView>
  </sheetViews>
  <sheetFormatPr defaultRowHeight="15" x14ac:dyDescent="0.25"/>
  <cols>
    <col min="1" max="1" width="23.28515625" style="8" bestFit="1" customWidth="1"/>
    <col min="2" max="2" width="50.5703125" style="8" bestFit="1" customWidth="1"/>
    <col min="3" max="4" width="25.140625" style="8" bestFit="1" customWidth="1"/>
  </cols>
  <sheetData>
    <row r="3" spans="1:4" x14ac:dyDescent="0.25">
      <c r="A3" s="12" t="s">
        <v>145</v>
      </c>
      <c r="B3" s="12" t="s">
        <v>146</v>
      </c>
      <c r="C3" s="12" t="s">
        <v>144</v>
      </c>
      <c r="D3" s="12" t="s">
        <v>147</v>
      </c>
    </row>
    <row r="4" spans="1:4" x14ac:dyDescent="0.25">
      <c r="A4" s="8">
        <v>1202.7777777777778</v>
      </c>
      <c r="B4" s="8">
        <v>1829.7685185185185</v>
      </c>
      <c r="C4" s="8">
        <v>0.36385321100917423</v>
      </c>
      <c r="D4" s="8">
        <v>3.8894736842105258</v>
      </c>
    </row>
    <row r="7" spans="1:4" x14ac:dyDescent="0.25">
      <c r="A7" s="11" t="s">
        <v>148</v>
      </c>
      <c r="B7" s="8" t="str">
        <f>Excel_jumia!A2</f>
        <v>120W Cordless Vacuum Cleaners Handheld Electric Vacuum Cleaner</v>
      </c>
    </row>
    <row r="9" spans="1:4" x14ac:dyDescent="0.25">
      <c r="A9" s="11" t="s">
        <v>149</v>
      </c>
      <c r="B9" s="8" t="str">
        <f>Excel_jumia!A110</f>
        <v>Black Simple Water Cup Wine Coaster Anti Slip Absorbent</v>
      </c>
    </row>
    <row r="13" spans="1:4" x14ac:dyDescent="0.25">
      <c r="A13" s="2" t="s">
        <v>142</v>
      </c>
      <c r="B13" s="2" t="s">
        <v>144</v>
      </c>
      <c r="C13" s="2" t="s">
        <v>147</v>
      </c>
    </row>
    <row r="14" spans="1:4" x14ac:dyDescent="0.25">
      <c r="A14" s="9" t="s">
        <v>150</v>
      </c>
      <c r="B14" s="1">
        <v>0.48203389830508458</v>
      </c>
      <c r="C14" s="8">
        <v>3.6133333333333324</v>
      </c>
    </row>
    <row r="15" spans="1:4" x14ac:dyDescent="0.25">
      <c r="A15" s="9" t="s">
        <v>151</v>
      </c>
      <c r="B15" s="1">
        <v>7.2222222222222243E-2</v>
      </c>
      <c r="C15" s="8">
        <v>3.7249999999999996</v>
      </c>
    </row>
    <row r="16" spans="1:4" x14ac:dyDescent="0.25">
      <c r="A16" s="9" t="s">
        <v>152</v>
      </c>
      <c r="B16" s="1">
        <v>0.30999999999999994</v>
      </c>
      <c r="C16" s="8">
        <v>4.2782608695652184</v>
      </c>
    </row>
    <row r="17" spans="1:4" x14ac:dyDescent="0.25">
      <c r="A17" s="13" t="s">
        <v>143</v>
      </c>
      <c r="B17" s="14">
        <v>0.36385321100917439</v>
      </c>
      <c r="C17" s="15">
        <v>3.8894736842105253</v>
      </c>
    </row>
    <row r="21" spans="1:4" x14ac:dyDescent="0.25">
      <c r="A21" s="2" t="s">
        <v>142</v>
      </c>
      <c r="B21" s="2" t="s">
        <v>156</v>
      </c>
      <c r="C21" s="2" t="s">
        <v>142</v>
      </c>
      <c r="D21" s="2" t="s">
        <v>156</v>
      </c>
    </row>
    <row r="22" spans="1:4" x14ac:dyDescent="0.25">
      <c r="A22" s="9" t="s">
        <v>153</v>
      </c>
      <c r="B22" s="10">
        <v>22</v>
      </c>
      <c r="C22" s="9" t="s">
        <v>150</v>
      </c>
      <c r="D22" s="10">
        <v>59</v>
      </c>
    </row>
    <row r="23" spans="1:4" x14ac:dyDescent="0.25">
      <c r="A23" s="9" t="s">
        <v>154</v>
      </c>
      <c r="B23" s="10">
        <v>75</v>
      </c>
      <c r="C23" s="9" t="s">
        <v>151</v>
      </c>
      <c r="D23" s="10">
        <v>18</v>
      </c>
    </row>
    <row r="24" spans="1:4" x14ac:dyDescent="0.25">
      <c r="A24" s="9" t="s">
        <v>155</v>
      </c>
      <c r="B24" s="10">
        <v>12</v>
      </c>
      <c r="C24" s="9" t="s">
        <v>152</v>
      </c>
      <c r="D24" s="10">
        <v>32</v>
      </c>
    </row>
    <row r="25" spans="1:4" x14ac:dyDescent="0.25">
      <c r="A25" s="2" t="s">
        <v>143</v>
      </c>
      <c r="B25" s="2">
        <v>109</v>
      </c>
      <c r="C25" s="2" t="s">
        <v>143</v>
      </c>
      <c r="D25" s="2">
        <v>109</v>
      </c>
    </row>
    <row r="29" spans="1:4" x14ac:dyDescent="0.25">
      <c r="A29" s="2" t="s">
        <v>142</v>
      </c>
      <c r="B29" s="12" t="s">
        <v>157</v>
      </c>
      <c r="C29" s="12" t="s">
        <v>147</v>
      </c>
    </row>
    <row r="30" spans="1:4" x14ac:dyDescent="0.25">
      <c r="A30" s="9" t="s">
        <v>150</v>
      </c>
      <c r="B30" s="8">
        <v>5.6610169491525424</v>
      </c>
      <c r="C30" s="8">
        <v>3.6133333333333324</v>
      </c>
    </row>
    <row r="31" spans="1:4" x14ac:dyDescent="0.25">
      <c r="A31" s="9" t="s">
        <v>151</v>
      </c>
      <c r="B31" s="8">
        <v>2.1111111111111112</v>
      </c>
      <c r="C31" s="8">
        <v>3.7249999999999996</v>
      </c>
    </row>
    <row r="32" spans="1:4" x14ac:dyDescent="0.25">
      <c r="A32" s="9" t="s">
        <v>152</v>
      </c>
      <c r="B32" s="8">
        <v>10.96875</v>
      </c>
      <c r="C32" s="8">
        <v>4.2782608695652184</v>
      </c>
    </row>
    <row r="33" spans="1:3" x14ac:dyDescent="0.25">
      <c r="A33" s="13" t="s">
        <v>143</v>
      </c>
      <c r="B33" s="12">
        <v>6.6330275229357802</v>
      </c>
      <c r="C33" s="12">
        <v>3.8894736842105253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591C6-EDA5-43DA-BE00-008A27E79F3A}">
  <dimension ref="A1:T48"/>
  <sheetViews>
    <sheetView tabSelected="1" zoomScaleNormal="100" workbookViewId="0">
      <selection activeCell="F2" sqref="F2"/>
    </sheetView>
  </sheetViews>
  <sheetFormatPr defaultRowHeight="15" x14ac:dyDescent="0.25"/>
  <cols>
    <col min="1" max="1" width="19.140625" bestFit="1" customWidth="1"/>
    <col min="2" max="2" width="20.140625" bestFit="1" customWidth="1"/>
    <col min="3" max="3" width="25.140625" bestFit="1" customWidth="1"/>
    <col min="4" max="4" width="16.85546875" bestFit="1" customWidth="1"/>
  </cols>
  <sheetData>
    <row r="1" spans="1:20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</row>
    <row r="2" spans="1:20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</row>
    <row r="3" spans="1:20" ht="18.75" x14ac:dyDescent="0.3">
      <c r="A3" s="20" t="s">
        <v>158</v>
      </c>
      <c r="B3" s="20" t="s">
        <v>159</v>
      </c>
      <c r="C3" s="20" t="s">
        <v>160</v>
      </c>
      <c r="D3" s="20" t="s">
        <v>161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6"/>
    </row>
    <row r="4" spans="1:20" ht="18.75" x14ac:dyDescent="0.3">
      <c r="A4" s="21">
        <f>COUNTA(Excel_jumia!A2:A110)</f>
        <v>109</v>
      </c>
      <c r="B4" s="21">
        <f>AVERAGE(Excel_jumia!H2:H110)</f>
        <v>3.8894736842105262</v>
      </c>
      <c r="C4" s="22">
        <f>AVERAGE(Excel_jumia!D2:D110)</f>
        <v>0.36385321100917445</v>
      </c>
      <c r="D4" s="21">
        <f>SUM(Excel_jumia!F2:F110)</f>
        <v>723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6"/>
    </row>
    <row r="5" spans="1:20" ht="18.75" x14ac:dyDescent="0.3">
      <c r="A5" s="17"/>
      <c r="B5" s="17"/>
      <c r="C5" s="17"/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0" ht="18.75" x14ac:dyDescent="0.3">
      <c r="A6" s="19" t="s">
        <v>162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6"/>
      <c r="T6" s="16"/>
    </row>
    <row r="7" spans="1:20" x14ac:dyDescent="0.2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</row>
    <row r="8" spans="1:20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1:20" x14ac:dyDescent="0.25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</row>
    <row r="11" spans="1:20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</row>
    <row r="12" spans="1:20" x14ac:dyDescent="0.25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 spans="1:20" x14ac:dyDescent="0.25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</row>
    <row r="14" spans="1:20" x14ac:dyDescent="0.25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</row>
    <row r="15" spans="1:20" x14ac:dyDescent="0.2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</row>
    <row r="16" spans="1:20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</row>
    <row r="17" spans="1:20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 spans="1:20" x14ac:dyDescent="0.25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x14ac:dyDescent="0.25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 spans="1:20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</row>
    <row r="22" spans="1:20" x14ac:dyDescent="0.25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</row>
    <row r="23" spans="1:20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</row>
    <row r="24" spans="1:20" x14ac:dyDescent="0.25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</row>
    <row r="25" spans="1:20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20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20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20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20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20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20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</row>
    <row r="32" spans="1:20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</row>
    <row r="33" spans="1:20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</row>
    <row r="34" spans="1:20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</row>
    <row r="35" spans="1:20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</row>
    <row r="36" spans="1:20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</row>
    <row r="37" spans="1:20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</row>
    <row r="38" spans="1:20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  <row r="40" spans="1:20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</row>
    <row r="41" spans="1:20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</row>
    <row r="42" spans="1:20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</row>
    <row r="43" spans="1:20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</row>
    <row r="44" spans="1:20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</row>
    <row r="45" spans="1:20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</row>
    <row r="46" spans="1:20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</row>
    <row r="47" spans="1:20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</row>
    <row r="48" spans="1:20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</row>
  </sheetData>
  <mergeCells count="1">
    <mergeCell ref="A6:R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B8C9-1CAC-49BD-80B8-D478BDA48484}">
  <dimension ref="A1:K116"/>
  <sheetViews>
    <sheetView workbookViewId="0">
      <selection activeCell="A3" sqref="A1:K110"/>
    </sheetView>
  </sheetViews>
  <sheetFormatPr defaultRowHeight="15" x14ac:dyDescent="0.25"/>
  <cols>
    <col min="1" max="1" width="95" bestFit="1" customWidth="1"/>
    <col min="2" max="3" width="19.42578125" style="5" bestFit="1" customWidth="1"/>
    <col min="4" max="4" width="11.140625" style="7" customWidth="1"/>
    <col min="5" max="6" width="10.5703125" customWidth="1"/>
    <col min="7" max="7" width="10.42578125" bestFit="1" customWidth="1"/>
    <col min="8" max="8" width="15" bestFit="1" customWidth="1"/>
    <col min="9" max="9" width="16.7109375" bestFit="1" customWidth="1"/>
    <col min="10" max="10" width="15.42578125" bestFit="1" customWidth="1"/>
    <col min="11" max="11" width="18" bestFit="1" customWidth="1"/>
  </cols>
  <sheetData>
    <row r="1" spans="1:11" s="3" customFormat="1" x14ac:dyDescent="0.25">
      <c r="A1" s="3" t="s">
        <v>0</v>
      </c>
      <c r="B1" s="4" t="s">
        <v>1</v>
      </c>
      <c r="C1" s="4" t="s">
        <v>2</v>
      </c>
      <c r="D1" s="6" t="s">
        <v>3</v>
      </c>
      <c r="E1" s="3" t="s">
        <v>4</v>
      </c>
      <c r="F1" s="3" t="s">
        <v>138</v>
      </c>
      <c r="G1" s="3" t="s">
        <v>135</v>
      </c>
      <c r="H1" s="3" t="s">
        <v>137</v>
      </c>
      <c r="I1" s="3" t="s">
        <v>139</v>
      </c>
      <c r="J1" s="3" t="s">
        <v>140</v>
      </c>
      <c r="K1" s="3" t="s">
        <v>141</v>
      </c>
    </row>
    <row r="2" spans="1:11" x14ac:dyDescent="0.25">
      <c r="A2" t="s">
        <v>80</v>
      </c>
      <c r="B2" s="5">
        <v>979</v>
      </c>
      <c r="C2" s="5">
        <v>873</v>
      </c>
      <c r="D2" s="7">
        <v>0.38</v>
      </c>
      <c r="E2">
        <v>-69</v>
      </c>
      <c r="F2">
        <f>ABS(E2)</f>
        <v>69</v>
      </c>
      <c r="G2" t="s">
        <v>81</v>
      </c>
      <c r="H2">
        <f>IFERROR(VALUE(LEFT(G2,FIND(" ",G2)-1)),"")</f>
        <v>2.8</v>
      </c>
      <c r="I2" s="8">
        <f>C2 - B2</f>
        <v>-106</v>
      </c>
      <c r="J2" t="str">
        <f>IF(H2&lt;3,"Poor",IF(H2&lt;=4.4,"Average","Excellent"))</f>
        <v>Poor</v>
      </c>
      <c r="K2" t="str">
        <f>IF(D2&lt;0.2,"Low Discount",IF(D2&lt;=0.4,"Medium Discount","High Discount"))</f>
        <v>Medium Discount</v>
      </c>
    </row>
    <row r="3" spans="1:11" x14ac:dyDescent="0.25">
      <c r="A3" t="s">
        <v>17</v>
      </c>
      <c r="B3" s="5">
        <v>2799</v>
      </c>
      <c r="C3" s="5">
        <v>3032</v>
      </c>
      <c r="D3" s="7">
        <v>0.53</v>
      </c>
      <c r="E3">
        <v>-55</v>
      </c>
      <c r="F3">
        <f>ABS(E3)</f>
        <v>55</v>
      </c>
      <c r="G3" t="s">
        <v>10</v>
      </c>
      <c r="H3">
        <f>IFERROR(VALUE(LEFT(G3,FIND(" ",G3)-1)),"")</f>
        <v>4.5999999999999996</v>
      </c>
      <c r="I3" s="8">
        <f>C3 - B3</f>
        <v>233</v>
      </c>
      <c r="J3" t="str">
        <f>IF(H3&lt;3,"Poor",IF(H3&lt;=4.4,"Average","Excellent"))</f>
        <v>Excellent</v>
      </c>
      <c r="K3" t="str">
        <f>IF(D3&lt;0.2,"Low Discount",IF(D3&lt;=0.4,"Medium Discount","High Discount"))</f>
        <v>High Discount</v>
      </c>
    </row>
    <row r="4" spans="1:11" x14ac:dyDescent="0.25">
      <c r="A4" t="s">
        <v>42</v>
      </c>
      <c r="B4" s="5">
        <v>1740</v>
      </c>
      <c r="C4" s="5">
        <v>647</v>
      </c>
      <c r="D4" s="7">
        <v>0.49</v>
      </c>
      <c r="E4">
        <v>-49</v>
      </c>
      <c r="F4">
        <f>ABS(E4)</f>
        <v>49</v>
      </c>
      <c r="G4" t="s">
        <v>10</v>
      </c>
      <c r="H4">
        <f>IFERROR(VALUE(LEFT(G4,FIND(" ",G4)-1)),"")</f>
        <v>4.5999999999999996</v>
      </c>
      <c r="I4" s="8">
        <f>C4 - B4</f>
        <v>-1093</v>
      </c>
      <c r="J4" t="str">
        <f>IF(H4&lt;3,"Poor",IF(H4&lt;=4.4,"Average","Excellent"))</f>
        <v>Excellent</v>
      </c>
      <c r="K4" t="str">
        <f>IF(D4&lt;0.2,"Low Discount",IF(D4&lt;=0.4,"Medium Discount","High Discount"))</f>
        <v>High Discount</v>
      </c>
    </row>
    <row r="5" spans="1:11" x14ac:dyDescent="0.25">
      <c r="A5" t="s">
        <v>33</v>
      </c>
      <c r="B5" s="5">
        <v>1940</v>
      </c>
      <c r="C5" s="5">
        <v>1966</v>
      </c>
      <c r="D5" s="7">
        <v>0.49</v>
      </c>
      <c r="E5">
        <v>-44</v>
      </c>
      <c r="F5">
        <f>ABS(E5)</f>
        <v>44</v>
      </c>
      <c r="G5" t="s">
        <v>10</v>
      </c>
      <c r="H5">
        <f>IFERROR(VALUE(LEFT(G5,FIND(" ",G5)-1)),"")</f>
        <v>4.5999999999999996</v>
      </c>
      <c r="I5" s="8">
        <f>C5 - B5</f>
        <v>26</v>
      </c>
      <c r="J5" t="str">
        <f>IF(H5&lt;3,"Poor",IF(H5&lt;=4.4,"Average","Excellent"))</f>
        <v>Excellent</v>
      </c>
      <c r="K5" t="str">
        <f>IF(D5&lt;0.2,"Low Discount",IF(D5&lt;=0.4,"Medium Discount","High Discount"))</f>
        <v>High Discount</v>
      </c>
    </row>
    <row r="6" spans="1:11" x14ac:dyDescent="0.25">
      <c r="A6" t="s">
        <v>23</v>
      </c>
      <c r="B6" s="5">
        <v>2199</v>
      </c>
      <c r="C6" s="5">
        <v>1500</v>
      </c>
      <c r="D6" s="7">
        <v>0.5</v>
      </c>
      <c r="E6">
        <v>-39</v>
      </c>
      <c r="F6">
        <f>ABS(E6)</f>
        <v>39</v>
      </c>
      <c r="G6" t="s">
        <v>12</v>
      </c>
      <c r="H6">
        <f>IFERROR(VALUE(LEFT(G6,FIND(" ",G6)-1)),"")</f>
        <v>4.7</v>
      </c>
      <c r="I6" s="8">
        <f>C6 - B6</f>
        <v>-699</v>
      </c>
      <c r="J6" t="str">
        <f>IF(H6&lt;3,"Poor",IF(H6&lt;=4.4,"Average","Excellent"))</f>
        <v>Excellent</v>
      </c>
      <c r="K6" t="str">
        <f>IF(D6&lt;0.2,"Low Discount",IF(D6&lt;=0.4,"Medium Discount","High Discount"))</f>
        <v>High Discount</v>
      </c>
    </row>
    <row r="7" spans="1:11" x14ac:dyDescent="0.25">
      <c r="A7" t="s">
        <v>53</v>
      </c>
      <c r="B7" s="5">
        <v>1468</v>
      </c>
      <c r="C7" s="5">
        <v>656</v>
      </c>
      <c r="D7" s="7">
        <v>0.47</v>
      </c>
      <c r="E7">
        <v>-36</v>
      </c>
      <c r="F7">
        <f>ABS(E7)</f>
        <v>36</v>
      </c>
      <c r="G7" t="s">
        <v>41</v>
      </c>
      <c r="H7">
        <f>IFERROR(VALUE(LEFT(G7,FIND(" ",G7)-1)),"")</f>
        <v>4.3</v>
      </c>
      <c r="I7" s="8">
        <f>C7 - B7</f>
        <v>-812</v>
      </c>
      <c r="J7" t="str">
        <f>IF(H7&lt;3,"Poor",IF(H7&lt;=4.4,"Average","Excellent"))</f>
        <v>Average</v>
      </c>
      <c r="K7" t="str">
        <f>IF(D7&lt;0.2,"Low Discount",IF(D7&lt;=0.4,"Medium Discount","High Discount"))</f>
        <v>High Discount</v>
      </c>
    </row>
    <row r="8" spans="1:11" x14ac:dyDescent="0.25">
      <c r="A8" t="s">
        <v>50</v>
      </c>
      <c r="B8" s="5">
        <v>1580</v>
      </c>
      <c r="C8" s="5">
        <v>2699</v>
      </c>
      <c r="D8" s="7">
        <v>0.47</v>
      </c>
      <c r="E8">
        <v>-32</v>
      </c>
      <c r="F8">
        <f>ABS(E8)</f>
        <v>32</v>
      </c>
      <c r="G8" t="s">
        <v>6</v>
      </c>
      <c r="H8">
        <f>IFERROR(VALUE(LEFT(G8,FIND(" ",G8)-1)),"")</f>
        <v>4.5</v>
      </c>
      <c r="I8" s="8">
        <f>C8 - B8</f>
        <v>1119</v>
      </c>
      <c r="J8" t="str">
        <f>IF(H8&lt;3,"Poor",IF(H8&lt;=4.4,"Average","Excellent"))</f>
        <v>Excellent</v>
      </c>
      <c r="K8" t="str">
        <f>IF(D8&lt;0.2,"Low Discount",IF(D8&lt;=0.4,"Medium Discount","High Discount"))</f>
        <v>High Discount</v>
      </c>
    </row>
    <row r="9" spans="1:11" x14ac:dyDescent="0.25">
      <c r="A9" t="s">
        <v>9</v>
      </c>
      <c r="B9" s="5">
        <v>3546</v>
      </c>
      <c r="C9" s="5">
        <v>2923</v>
      </c>
      <c r="D9" s="7">
        <v>0.55000000000000004</v>
      </c>
      <c r="E9">
        <v>-24</v>
      </c>
      <c r="F9">
        <f>ABS(E9)</f>
        <v>24</v>
      </c>
      <c r="G9" t="s">
        <v>10</v>
      </c>
      <c r="H9">
        <f>IFERROR(VALUE(LEFT(G9,FIND(" ",G9)-1)),"")</f>
        <v>4.5999999999999996</v>
      </c>
      <c r="I9" s="8">
        <f>C9 - B9</f>
        <v>-623</v>
      </c>
      <c r="J9" t="str">
        <f>IF(H9&lt;3,"Poor",IF(H9&lt;=4.4,"Average","Excellent"))</f>
        <v>Excellent</v>
      </c>
      <c r="K9" t="str">
        <f>IF(D9&lt;0.2,"Low Discount",IF(D9&lt;=0.4,"Medium Discount","High Discount"))</f>
        <v>High Discount</v>
      </c>
    </row>
    <row r="10" spans="1:11" x14ac:dyDescent="0.25">
      <c r="A10" t="s">
        <v>49</v>
      </c>
      <c r="B10" s="5">
        <v>1600</v>
      </c>
      <c r="C10" s="5">
        <v>2650</v>
      </c>
      <c r="D10" s="7">
        <v>0.48</v>
      </c>
      <c r="E10">
        <v>-20</v>
      </c>
      <c r="F10">
        <f>ABS(E10)</f>
        <v>20</v>
      </c>
      <c r="G10" t="s">
        <v>12</v>
      </c>
      <c r="H10">
        <f>IFERROR(VALUE(LEFT(G10,FIND(" ",G10)-1)),"")</f>
        <v>4.7</v>
      </c>
      <c r="I10" s="8">
        <f>C10 - B10</f>
        <v>1050</v>
      </c>
      <c r="J10" t="str">
        <f>IF(H10&lt;3,"Poor",IF(H10&lt;=4.4,"Average","Excellent"))</f>
        <v>Excellent</v>
      </c>
      <c r="K10" t="str">
        <f>IF(D10&lt;0.2,"Low Discount",IF(D10&lt;=0.4,"Medium Discount","High Discount"))</f>
        <v>High Discount</v>
      </c>
    </row>
    <row r="11" spans="1:11" x14ac:dyDescent="0.25">
      <c r="A11" t="s">
        <v>45</v>
      </c>
      <c r="B11" s="5">
        <v>1666</v>
      </c>
      <c r="C11" s="5">
        <v>2499</v>
      </c>
      <c r="D11" s="7">
        <v>0.49</v>
      </c>
      <c r="E11">
        <v>-20</v>
      </c>
      <c r="F11">
        <f>ABS(E11)</f>
        <v>20</v>
      </c>
      <c r="G11" t="s">
        <v>8</v>
      </c>
      <c r="H11">
        <f>IFERROR(VALUE(LEFT(G11,FIND(" ",G11)-1)),"")</f>
        <v>4.0999999999999996</v>
      </c>
      <c r="I11" s="8">
        <f>C11 - B11</f>
        <v>833</v>
      </c>
      <c r="J11" t="str">
        <f>IF(H11&lt;3,"Poor",IF(H11&lt;=4.4,"Average","Excellent"))</f>
        <v>Average</v>
      </c>
      <c r="K11" t="str">
        <f>IF(D11&lt;0.2,"Low Discount",IF(D11&lt;=0.4,"Medium Discount","High Discount"))</f>
        <v>High Discount</v>
      </c>
    </row>
    <row r="12" spans="1:11" x14ac:dyDescent="0.25">
      <c r="A12" t="s">
        <v>91</v>
      </c>
      <c r="B12" s="5">
        <v>799</v>
      </c>
      <c r="C12" s="5">
        <v>700</v>
      </c>
      <c r="D12" s="7">
        <v>0.36</v>
      </c>
      <c r="E12">
        <v>-17</v>
      </c>
      <c r="F12">
        <f>ABS(E12)</f>
        <v>17</v>
      </c>
      <c r="G12" t="s">
        <v>92</v>
      </c>
      <c r="H12">
        <f>IFERROR(VALUE(LEFT(G12,FIND(" ",G12)-1)),"")</f>
        <v>2.6</v>
      </c>
      <c r="I12" s="8">
        <f>C12 - B12</f>
        <v>-99</v>
      </c>
      <c r="J12" t="str">
        <f>IF(H12&lt;3,"Poor",IF(H12&lt;=4.4,"Average","Excellent"))</f>
        <v>Poor</v>
      </c>
      <c r="K12" t="str">
        <f>IF(D12&lt;0.2,"Low Discount",IF(D12&lt;=0.4,"Medium Discount","High Discount"))</f>
        <v>Medium Discount</v>
      </c>
    </row>
    <row r="13" spans="1:11" x14ac:dyDescent="0.25">
      <c r="A13" t="s">
        <v>84</v>
      </c>
      <c r="B13" s="5">
        <v>950</v>
      </c>
      <c r="C13" s="5">
        <v>1555</v>
      </c>
      <c r="D13" s="7">
        <v>0.38</v>
      </c>
      <c r="E13">
        <v>-16</v>
      </c>
      <c r="F13">
        <f>ABS(E13)</f>
        <v>16</v>
      </c>
      <c r="G13" t="s">
        <v>85</v>
      </c>
      <c r="H13">
        <f>IFERROR(VALUE(LEFT(G13,FIND(" ",G13)-1)),"")</f>
        <v>2.9</v>
      </c>
      <c r="I13" s="8">
        <f>C13 - B13</f>
        <v>605</v>
      </c>
      <c r="J13" t="str">
        <f>IF(H13&lt;3,"Poor",IF(H13&lt;=4.4,"Average","Excellent"))</f>
        <v>Poor</v>
      </c>
      <c r="K13" t="str">
        <f>IF(D13&lt;0.2,"Low Discount",IF(D13&lt;=0.4,"Medium Discount","High Discount"))</f>
        <v>Medium Discount</v>
      </c>
    </row>
    <row r="14" spans="1:11" x14ac:dyDescent="0.25">
      <c r="A14" t="s">
        <v>15</v>
      </c>
      <c r="B14" s="5">
        <v>2880</v>
      </c>
      <c r="C14" s="5">
        <v>3290</v>
      </c>
      <c r="D14" s="7">
        <v>0.54</v>
      </c>
      <c r="E14">
        <v>-15</v>
      </c>
      <c r="F14">
        <f>ABS(E14)</f>
        <v>15</v>
      </c>
      <c r="G14" t="s">
        <v>16</v>
      </c>
      <c r="H14">
        <f>IFERROR(VALUE(LEFT(G14,FIND(" ",G14)-1)),"")</f>
        <v>4</v>
      </c>
      <c r="I14" s="8">
        <f>C14 - B14</f>
        <v>410</v>
      </c>
      <c r="J14" t="str">
        <f>IF(H14&lt;3,"Poor",IF(H14&lt;=4.4,"Average","Excellent"))</f>
        <v>Average</v>
      </c>
      <c r="K14" t="str">
        <f>IF(D14&lt;0.2,"Low Discount",IF(D14&lt;=0.4,"Medium Discount","High Discount"))</f>
        <v>High Discount</v>
      </c>
    </row>
    <row r="15" spans="1:11" x14ac:dyDescent="0.25">
      <c r="A15" t="s">
        <v>82</v>
      </c>
      <c r="B15" s="5">
        <v>968</v>
      </c>
      <c r="C15" s="5">
        <v>680</v>
      </c>
      <c r="D15" s="7">
        <v>0.38</v>
      </c>
      <c r="E15">
        <v>-15</v>
      </c>
      <c r="F15">
        <f>ABS(E15)</f>
        <v>15</v>
      </c>
      <c r="G15" t="s">
        <v>83</v>
      </c>
      <c r="H15">
        <f>IFERROR(VALUE(LEFT(G15,FIND(" ",G15)-1)),"")</f>
        <v>2.7</v>
      </c>
      <c r="I15" s="8">
        <f>C15 - B15</f>
        <v>-288</v>
      </c>
      <c r="J15" t="str">
        <f>IF(H15&lt;3,"Poor",IF(H15&lt;=4.4,"Average","Excellent"))</f>
        <v>Poor</v>
      </c>
      <c r="K15" t="str">
        <f>IF(D15&lt;0.2,"Low Discount",IF(D15&lt;=0.4,"Medium Discount","High Discount"))</f>
        <v>Medium Discount</v>
      </c>
    </row>
    <row r="16" spans="1:11" x14ac:dyDescent="0.25">
      <c r="A16" t="s">
        <v>38</v>
      </c>
      <c r="B16" s="5">
        <v>1768</v>
      </c>
      <c r="C16" s="5">
        <v>2150</v>
      </c>
      <c r="D16" s="7">
        <v>0.49</v>
      </c>
      <c r="E16">
        <v>-14</v>
      </c>
      <c r="F16">
        <f>ABS(E16)</f>
        <v>14</v>
      </c>
      <c r="G16" t="s">
        <v>39</v>
      </c>
      <c r="H16">
        <f>IFERROR(VALUE(LEFT(G16,FIND(" ",G16)-1)),"")</f>
        <v>4.4000000000000004</v>
      </c>
      <c r="I16" s="8">
        <f>C16 - B16</f>
        <v>382</v>
      </c>
      <c r="J16" t="str">
        <f>IF(H16&lt;3,"Poor",IF(H16&lt;=4.4,"Average","Excellent"))</f>
        <v>Average</v>
      </c>
      <c r="K16" t="str">
        <f>IF(D16&lt;0.2,"Low Discount",IF(D16&lt;=0.4,"Medium Discount","High Discount"))</f>
        <v>High Discount</v>
      </c>
    </row>
    <row r="17" spans="1:11" x14ac:dyDescent="0.25">
      <c r="A17" t="s">
        <v>7</v>
      </c>
      <c r="B17" s="5">
        <v>3640</v>
      </c>
      <c r="C17" s="5">
        <v>999</v>
      </c>
      <c r="D17" s="7">
        <v>0.61</v>
      </c>
      <c r="E17">
        <v>-14</v>
      </c>
      <c r="F17">
        <f>ABS(E17)</f>
        <v>14</v>
      </c>
      <c r="G17" t="s">
        <v>8</v>
      </c>
      <c r="H17">
        <f>IFERROR(VALUE(LEFT(G17,FIND(" ",G17)-1)),"")</f>
        <v>4.0999999999999996</v>
      </c>
      <c r="I17" s="8">
        <f>C17 - B17</f>
        <v>-2641</v>
      </c>
      <c r="J17" t="str">
        <f>IF(H17&lt;3,"Poor",IF(H17&lt;=4.4,"Average","Excellent"))</f>
        <v>Average</v>
      </c>
      <c r="K17" t="str">
        <f>IF(D17&lt;0.2,"Low Discount",IF(D17&lt;=0.4,"Medium Discount","High Discount"))</f>
        <v>High Discount</v>
      </c>
    </row>
    <row r="18" spans="1:11" x14ac:dyDescent="0.25">
      <c r="A18" t="s">
        <v>44</v>
      </c>
      <c r="B18" s="5">
        <v>1680</v>
      </c>
      <c r="C18" s="5">
        <v>1990</v>
      </c>
      <c r="D18" s="7">
        <v>0.49</v>
      </c>
      <c r="E18">
        <v>-13</v>
      </c>
      <c r="F18">
        <f>ABS(E18)</f>
        <v>13</v>
      </c>
      <c r="G18" t="s">
        <v>21</v>
      </c>
      <c r="H18">
        <f>IFERROR(VALUE(LEFT(G18,FIND(" ",G18)-1)),"")</f>
        <v>3.8</v>
      </c>
      <c r="I18" s="8">
        <f>C18 - B18</f>
        <v>310</v>
      </c>
      <c r="J18" t="str">
        <f>IF(H18&lt;3,"Poor",IF(H18&lt;=4.4,"Average","Excellent"))</f>
        <v>Average</v>
      </c>
      <c r="K18" t="str">
        <f>IF(D18&lt;0.2,"Low Discount",IF(D18&lt;=0.4,"Medium Discount","High Discount"))</f>
        <v>High Discount</v>
      </c>
    </row>
    <row r="19" spans="1:11" x14ac:dyDescent="0.25">
      <c r="A19" t="s">
        <v>34</v>
      </c>
      <c r="B19" s="5">
        <v>1875</v>
      </c>
      <c r="C19" s="5">
        <v>80</v>
      </c>
      <c r="D19" s="7">
        <v>0.49</v>
      </c>
      <c r="E19">
        <v>-13</v>
      </c>
      <c r="F19">
        <f>ABS(E19)</f>
        <v>13</v>
      </c>
      <c r="G19" t="s">
        <v>35</v>
      </c>
      <c r="H19">
        <f>IFERROR(VALUE(LEFT(G19,FIND(" ",G19)-1)),"")</f>
        <v>3.3</v>
      </c>
      <c r="I19" s="8">
        <f>C19 - B19</f>
        <v>-1795</v>
      </c>
      <c r="J19" t="str">
        <f>IF(H19&lt;3,"Poor",IF(H19&lt;=4.4,"Average","Excellent"))</f>
        <v>Average</v>
      </c>
      <c r="K19" t="str">
        <f>IF(D19&lt;0.2,"Low Discount",IF(D19&lt;=0.4,"Medium Discount","High Discount"))</f>
        <v>High Discount</v>
      </c>
    </row>
    <row r="20" spans="1:11" x14ac:dyDescent="0.25">
      <c r="A20" t="s">
        <v>78</v>
      </c>
      <c r="B20" s="5">
        <v>980</v>
      </c>
      <c r="C20" s="5">
        <v>4700</v>
      </c>
      <c r="D20" s="7">
        <v>0.39</v>
      </c>
      <c r="E20">
        <v>-13</v>
      </c>
      <c r="F20">
        <f>ABS(E20)</f>
        <v>13</v>
      </c>
      <c r="G20" t="s">
        <v>79</v>
      </c>
      <c r="H20">
        <f>IFERROR(VALUE(LEFT(G20,FIND(" ",G20)-1)),"")</f>
        <v>2.1</v>
      </c>
      <c r="I20" s="8">
        <f>C20 - B20</f>
        <v>3720</v>
      </c>
      <c r="J20" t="str">
        <f>IF(H20&lt;3,"Poor",IF(H20&lt;=4.4,"Average","Excellent"))</f>
        <v>Poor</v>
      </c>
      <c r="K20" t="str">
        <f>IF(D20&lt;0.2,"Low Discount",IF(D20&lt;=0.4,"Medium Discount","High Discount"))</f>
        <v>Medium Discount</v>
      </c>
    </row>
    <row r="21" spans="1:11" x14ac:dyDescent="0.25">
      <c r="A21" t="s">
        <v>24</v>
      </c>
      <c r="B21" s="5">
        <v>2170</v>
      </c>
      <c r="C21" s="5">
        <v>1035</v>
      </c>
      <c r="D21" s="7">
        <v>0.5</v>
      </c>
      <c r="E21">
        <v>-12</v>
      </c>
      <c r="F21">
        <f>ABS(E21)</f>
        <v>12</v>
      </c>
      <c r="G21" t="s">
        <v>14</v>
      </c>
      <c r="H21">
        <f>IFERROR(VALUE(LEFT(G21,FIND(" ",G21)-1)),"")</f>
        <v>4.8</v>
      </c>
      <c r="I21" s="8">
        <f>C21 - B21</f>
        <v>-1135</v>
      </c>
      <c r="J21" t="str">
        <f>IF(H21&lt;3,"Poor",IF(H21&lt;=4.4,"Average","Excellent"))</f>
        <v>Excellent</v>
      </c>
      <c r="K21" t="str">
        <f>IF(D21&lt;0.2,"Low Discount",IF(D21&lt;=0.4,"Medium Discount","High Discount"))</f>
        <v>High Discount</v>
      </c>
    </row>
    <row r="22" spans="1:11" x14ac:dyDescent="0.25">
      <c r="A22" t="s">
        <v>47</v>
      </c>
      <c r="B22" s="5">
        <v>1650</v>
      </c>
      <c r="C22" s="5">
        <v>1490</v>
      </c>
      <c r="D22" s="7">
        <v>0.48</v>
      </c>
      <c r="E22">
        <v>-12</v>
      </c>
      <c r="F22">
        <f>ABS(E22)</f>
        <v>12</v>
      </c>
      <c r="G22" t="s">
        <v>12</v>
      </c>
      <c r="H22">
        <f>IFERROR(VALUE(LEFT(G22,FIND(" ",G22)-1)),"")</f>
        <v>4.7</v>
      </c>
      <c r="I22" s="8">
        <f>C22 - B22</f>
        <v>-160</v>
      </c>
      <c r="J22" t="str">
        <f>IF(H22&lt;3,"Poor",IF(H22&lt;=4.4,"Average","Excellent"))</f>
        <v>Excellent</v>
      </c>
      <c r="K22" t="str">
        <f>IF(D22&lt;0.2,"Low Discount",IF(D22&lt;=0.4,"Medium Discount","High Discount"))</f>
        <v>High Discount</v>
      </c>
    </row>
    <row r="23" spans="1:11" x14ac:dyDescent="0.25">
      <c r="A23" t="s">
        <v>22</v>
      </c>
      <c r="B23" s="5">
        <v>2200</v>
      </c>
      <c r="C23" s="5">
        <v>999</v>
      </c>
      <c r="D23" s="7">
        <v>0.51</v>
      </c>
      <c r="E23">
        <v>-12</v>
      </c>
      <c r="F23">
        <f>ABS(E23)</f>
        <v>12</v>
      </c>
      <c r="G23" t="s">
        <v>8</v>
      </c>
      <c r="H23">
        <f>IFERROR(VALUE(LEFT(G23,FIND(" ",G23)-1)),"")</f>
        <v>4.0999999999999996</v>
      </c>
      <c r="I23" s="8">
        <f>C23 - B23</f>
        <v>-1201</v>
      </c>
      <c r="J23" t="str">
        <f>IF(H23&lt;3,"Poor",IF(H23&lt;=4.4,"Average","Excellent"))</f>
        <v>Average</v>
      </c>
      <c r="K23" t="str">
        <f>IF(D23&lt;0.2,"Low Discount",IF(D23&lt;=0.4,"Medium Discount","High Discount"))</f>
        <v>High Discount</v>
      </c>
    </row>
    <row r="24" spans="1:11" x14ac:dyDescent="0.25">
      <c r="A24" t="s">
        <v>43</v>
      </c>
      <c r="B24" s="5">
        <v>1732</v>
      </c>
      <c r="C24" s="5">
        <v>3520</v>
      </c>
      <c r="D24" s="7">
        <v>0.49</v>
      </c>
      <c r="E24">
        <v>-12</v>
      </c>
      <c r="F24">
        <f>ABS(E24)</f>
        <v>12</v>
      </c>
      <c r="G24" t="s">
        <v>21</v>
      </c>
      <c r="H24">
        <f>IFERROR(VALUE(LEFT(G24,FIND(" ",G24)-1)),"")</f>
        <v>3.8</v>
      </c>
      <c r="I24" s="8">
        <f>C24 - B24</f>
        <v>1788</v>
      </c>
      <c r="J24" t="str">
        <f>IF(H24&lt;3,"Poor",IF(H24&lt;=4.4,"Average","Excellent"))</f>
        <v>Average</v>
      </c>
      <c r="K24" t="str">
        <f>IF(D24&lt;0.2,"Low Discount",IF(D24&lt;=0.4,"Medium Discount","High Discount"))</f>
        <v>High Discount</v>
      </c>
    </row>
    <row r="25" spans="1:11" x14ac:dyDescent="0.25">
      <c r="A25" t="s">
        <v>76</v>
      </c>
      <c r="B25" s="5">
        <v>988</v>
      </c>
      <c r="C25" s="5">
        <v>986</v>
      </c>
      <c r="D25" s="7">
        <v>0.4</v>
      </c>
      <c r="E25">
        <v>-10</v>
      </c>
      <c r="F25">
        <f>ABS(E25)</f>
        <v>10</v>
      </c>
      <c r="G25" t="s">
        <v>77</v>
      </c>
      <c r="H25">
        <f>IFERROR(VALUE(LEFT(G25,FIND(" ",G25)-1)),"")</f>
        <v>3</v>
      </c>
      <c r="I25" s="8">
        <f>C25 - B25</f>
        <v>-2</v>
      </c>
      <c r="J25" t="str">
        <f>IF(H25&lt;3,"Poor",IF(H25&lt;=4.4,"Average","Excellent"))</f>
        <v>Average</v>
      </c>
      <c r="K25" t="str">
        <f>IF(D25&lt;0.2,"Low Discount",IF(D25&lt;=0.4,"Medium Discount","High Discount"))</f>
        <v>Medium Discount</v>
      </c>
    </row>
    <row r="26" spans="1:11" x14ac:dyDescent="0.25">
      <c r="A26" t="s">
        <v>46</v>
      </c>
      <c r="B26" s="5">
        <v>1658</v>
      </c>
      <c r="C26" s="5">
        <v>382</v>
      </c>
      <c r="D26" s="7">
        <v>0.48</v>
      </c>
      <c r="E26">
        <v>-9</v>
      </c>
      <c r="F26">
        <f>ABS(E26)</f>
        <v>9</v>
      </c>
      <c r="G26" t="s">
        <v>41</v>
      </c>
      <c r="H26">
        <f>IFERROR(VALUE(LEFT(G26,FIND(" ",G26)-1)),"")</f>
        <v>4.3</v>
      </c>
      <c r="I26" s="8">
        <f>C26 - B26</f>
        <v>-1276</v>
      </c>
      <c r="J26" t="str">
        <f>IF(H26&lt;3,"Poor",IF(H26&lt;=4.4,"Average","Excellent"))</f>
        <v>Average</v>
      </c>
      <c r="K26" t="str">
        <f>IF(D26&lt;0.2,"Low Discount",IF(D26&lt;=0.4,"Medium Discount","High Discount"))</f>
        <v>High Discount</v>
      </c>
    </row>
    <row r="27" spans="1:11" x14ac:dyDescent="0.25">
      <c r="A27" t="s">
        <v>48</v>
      </c>
      <c r="B27" s="5">
        <v>1620</v>
      </c>
      <c r="C27" s="5">
        <v>3490</v>
      </c>
      <c r="D27" s="7">
        <v>0.48</v>
      </c>
      <c r="E27">
        <v>-9</v>
      </c>
      <c r="F27">
        <f>ABS(E27)</f>
        <v>9</v>
      </c>
      <c r="G27" t="s">
        <v>41</v>
      </c>
      <c r="H27">
        <f>IFERROR(VALUE(LEFT(G27,FIND(" ",G27)-1)),"")</f>
        <v>4.3</v>
      </c>
      <c r="I27" s="8">
        <f>C27 - B27</f>
        <v>1870</v>
      </c>
      <c r="J27" t="str">
        <f>IF(H27&lt;3,"Poor",IF(H27&lt;=4.4,"Average","Excellent"))</f>
        <v>Average</v>
      </c>
      <c r="K27" t="str">
        <f>IF(D27&lt;0.2,"Low Discount",IF(D27&lt;=0.4,"Medium Discount","High Discount"))</f>
        <v>High Discount</v>
      </c>
    </row>
    <row r="28" spans="1:11" x14ac:dyDescent="0.25">
      <c r="A28" t="s">
        <v>26</v>
      </c>
      <c r="B28" s="5">
        <v>2115</v>
      </c>
      <c r="C28" s="5">
        <v>2499</v>
      </c>
      <c r="D28" s="7">
        <v>0.5</v>
      </c>
      <c r="E28">
        <v>-9</v>
      </c>
      <c r="F28">
        <f>ABS(E28)</f>
        <v>9</v>
      </c>
      <c r="G28" t="s">
        <v>27</v>
      </c>
      <c r="H28">
        <f>IFERROR(VALUE(LEFT(G28,FIND(" ",G28)-1)),"")</f>
        <v>4.2</v>
      </c>
      <c r="I28" s="8">
        <f>C28 - B28</f>
        <v>384</v>
      </c>
      <c r="J28" t="str">
        <f>IF(H28&lt;3,"Poor",IF(H28&lt;=4.4,"Average","Excellent"))</f>
        <v>Average</v>
      </c>
      <c r="K28" t="str">
        <f>IF(D28&lt;0.2,"Low Discount",IF(D28&lt;=0.4,"Medium Discount","High Discount"))</f>
        <v>High Discount</v>
      </c>
    </row>
    <row r="29" spans="1:11" x14ac:dyDescent="0.25">
      <c r="A29" t="s">
        <v>11</v>
      </c>
      <c r="B29" s="5">
        <v>2999</v>
      </c>
      <c r="C29" s="5">
        <v>2499</v>
      </c>
      <c r="D29" s="7">
        <v>0.55000000000000004</v>
      </c>
      <c r="E29">
        <v>-7</v>
      </c>
      <c r="F29">
        <f>ABS(E29)</f>
        <v>7</v>
      </c>
      <c r="G29" t="s">
        <v>12</v>
      </c>
      <c r="H29">
        <f>IFERROR(VALUE(LEFT(G29,FIND(" ",G29)-1)),"")</f>
        <v>4.7</v>
      </c>
      <c r="I29" s="8">
        <f>C29 - B29</f>
        <v>-500</v>
      </c>
      <c r="J29" t="str">
        <f>IF(H29&lt;3,"Poor",IF(H29&lt;=4.4,"Average","Excellent"))</f>
        <v>Excellent</v>
      </c>
      <c r="K29" t="str">
        <f>IF(D29&lt;0.2,"Low Discount",IF(D29&lt;=0.4,"Medium Discount","High Discount"))</f>
        <v>High Discount</v>
      </c>
    </row>
    <row r="30" spans="1:11" x14ac:dyDescent="0.25">
      <c r="A30" t="s">
        <v>40</v>
      </c>
      <c r="B30" s="5">
        <v>1758</v>
      </c>
      <c r="C30" s="5">
        <v>4500</v>
      </c>
      <c r="D30" s="7">
        <v>0.49</v>
      </c>
      <c r="E30">
        <v>-7</v>
      </c>
      <c r="F30">
        <f>ABS(E30)</f>
        <v>7</v>
      </c>
      <c r="G30" t="s">
        <v>41</v>
      </c>
      <c r="H30">
        <f>IFERROR(VALUE(LEFT(G30,FIND(" ",G30)-1)),"")</f>
        <v>4.3</v>
      </c>
      <c r="I30" s="8">
        <f>C30 - B30</f>
        <v>2742</v>
      </c>
      <c r="J30" t="str">
        <f>IF(H30&lt;3,"Poor",IF(H30&lt;=4.4,"Average","Excellent"))</f>
        <v>Average</v>
      </c>
      <c r="K30" t="str">
        <f>IF(D30&lt;0.2,"Low Discount",IF(D30&lt;=0.4,"Medium Discount","High Discount"))</f>
        <v>High Discount</v>
      </c>
    </row>
    <row r="31" spans="1:11" x14ac:dyDescent="0.25">
      <c r="A31" t="s">
        <v>88</v>
      </c>
      <c r="B31" s="5">
        <v>880</v>
      </c>
      <c r="C31" s="5">
        <v>2000</v>
      </c>
      <c r="D31" s="7">
        <v>0.37</v>
      </c>
      <c r="E31">
        <v>-7</v>
      </c>
      <c r="F31">
        <f>ABS(E31)</f>
        <v>7</v>
      </c>
      <c r="G31" t="s">
        <v>89</v>
      </c>
      <c r="H31">
        <f>IFERROR(VALUE(LEFT(G31,FIND(" ",G31)-1)),"")</f>
        <v>2.2999999999999998</v>
      </c>
      <c r="I31" s="8">
        <f>C31 - B31</f>
        <v>1120</v>
      </c>
      <c r="J31" t="str">
        <f>IF(H31&lt;3,"Poor",IF(H31&lt;=4.4,"Average","Excellent"))</f>
        <v>Poor</v>
      </c>
      <c r="K31" t="str">
        <f>IF(D31&lt;0.2,"Low Discount",IF(D31&lt;=0.4,"Medium Discount","High Discount"))</f>
        <v>Medium Discount</v>
      </c>
    </row>
    <row r="32" spans="1:11" x14ac:dyDescent="0.25">
      <c r="A32" t="s">
        <v>97</v>
      </c>
      <c r="B32" s="5">
        <v>699</v>
      </c>
      <c r="C32" s="5">
        <v>2988</v>
      </c>
      <c r="D32" s="7">
        <v>0.34</v>
      </c>
      <c r="E32">
        <v>-7</v>
      </c>
      <c r="F32">
        <f>ABS(E32)</f>
        <v>7</v>
      </c>
      <c r="G32" t="s">
        <v>79</v>
      </c>
      <c r="H32">
        <f>IFERROR(VALUE(LEFT(G32,FIND(" ",G32)-1)),"")</f>
        <v>2.1</v>
      </c>
      <c r="I32" s="8">
        <f>C32 - B32</f>
        <v>2289</v>
      </c>
      <c r="J32" t="str">
        <f>IF(H32&lt;3,"Poor",IF(H32&lt;=4.4,"Average","Excellent"))</f>
        <v>Poor</v>
      </c>
      <c r="K32" t="str">
        <f>IF(D32&lt;0.2,"Low Discount",IF(D32&lt;=0.4,"Medium Discount","High Discount"))</f>
        <v>Medium Discount</v>
      </c>
    </row>
    <row r="33" spans="1:11" x14ac:dyDescent="0.25">
      <c r="A33" t="s">
        <v>25</v>
      </c>
      <c r="B33" s="5">
        <v>2132</v>
      </c>
      <c r="C33" s="5">
        <v>860</v>
      </c>
      <c r="D33" s="7">
        <v>0.5</v>
      </c>
      <c r="E33">
        <v>-6</v>
      </c>
      <c r="F33">
        <f>ABS(E33)</f>
        <v>6</v>
      </c>
      <c r="G33" t="s">
        <v>6</v>
      </c>
      <c r="H33">
        <f>IFERROR(VALUE(LEFT(G33,FIND(" ",G33)-1)),"")</f>
        <v>4.5</v>
      </c>
      <c r="I33" s="8">
        <f>C33 - B33</f>
        <v>-1272</v>
      </c>
      <c r="J33" t="str">
        <f>IF(H33&lt;3,"Poor",IF(H33&lt;=4.4,"Average","Excellent"))</f>
        <v>Excellent</v>
      </c>
      <c r="K33" t="str">
        <f>IF(D33&lt;0.2,"Low Discount",IF(D33&lt;=0.4,"Medium Discount","High Discount"))</f>
        <v>High Discount</v>
      </c>
    </row>
    <row r="34" spans="1:11" x14ac:dyDescent="0.25">
      <c r="A34" t="s">
        <v>37</v>
      </c>
      <c r="B34" s="5">
        <v>1820</v>
      </c>
      <c r="C34" s="5">
        <v>1350</v>
      </c>
      <c r="D34" s="7">
        <v>0.49</v>
      </c>
      <c r="E34">
        <v>-6</v>
      </c>
      <c r="F34">
        <f>ABS(E34)</f>
        <v>6</v>
      </c>
      <c r="G34" t="s">
        <v>16</v>
      </c>
      <c r="H34">
        <f>IFERROR(VALUE(LEFT(G34,FIND(" ",G34)-1)),"")</f>
        <v>4</v>
      </c>
      <c r="I34" s="8">
        <f>C34 - B34</f>
        <v>-470</v>
      </c>
      <c r="J34" t="str">
        <f>IF(H34&lt;3,"Poor",IF(H34&lt;=4.4,"Average","Excellent"))</f>
        <v>Average</v>
      </c>
      <c r="K34" t="str">
        <f>IF(D34&lt;0.2,"Low Discount",IF(D34&lt;=0.4,"Medium Discount","High Discount"))</f>
        <v>High Discount</v>
      </c>
    </row>
    <row r="35" spans="1:11" x14ac:dyDescent="0.25">
      <c r="A35" t="s">
        <v>74</v>
      </c>
      <c r="B35" s="5">
        <v>990</v>
      </c>
      <c r="C35" s="5">
        <v>2500</v>
      </c>
      <c r="D35" s="7">
        <v>0.41</v>
      </c>
      <c r="E35">
        <v>-6</v>
      </c>
      <c r="F35">
        <f>ABS(E35)</f>
        <v>6</v>
      </c>
      <c r="G35" t="s">
        <v>75</v>
      </c>
      <c r="H35">
        <f>IFERROR(VALUE(LEFT(G35,FIND(" ",G35)-1)),"")</f>
        <v>2.5</v>
      </c>
      <c r="I35" s="8">
        <f>C35 - B35</f>
        <v>1510</v>
      </c>
      <c r="J35" t="str">
        <f>IF(H35&lt;3,"Poor",IF(H35&lt;=4.4,"Average","Excellent"))</f>
        <v>Poor</v>
      </c>
      <c r="K35" t="str">
        <f>IF(D35&lt;0.2,"Low Discount",IF(D35&lt;=0.4,"Medium Discount","High Discount"))</f>
        <v>High Discount</v>
      </c>
    </row>
    <row r="36" spans="1:11" x14ac:dyDescent="0.25">
      <c r="A36" t="s">
        <v>94</v>
      </c>
      <c r="B36" s="5">
        <v>799</v>
      </c>
      <c r="C36" s="5">
        <v>602</v>
      </c>
      <c r="D36" s="7">
        <v>0.35</v>
      </c>
      <c r="E36">
        <v>-6</v>
      </c>
      <c r="F36">
        <f>ABS(E36)</f>
        <v>6</v>
      </c>
      <c r="G36" t="s">
        <v>89</v>
      </c>
      <c r="H36">
        <f>IFERROR(VALUE(LEFT(G36,FIND(" ",G36)-1)),"")</f>
        <v>2.2999999999999998</v>
      </c>
      <c r="I36" s="8">
        <f>C36 - B36</f>
        <v>-197</v>
      </c>
      <c r="J36" t="str">
        <f>IF(H36&lt;3,"Poor",IF(H36&lt;=4.4,"Average","Excellent"))</f>
        <v>Poor</v>
      </c>
      <c r="K36" t="str">
        <f>IF(D36&lt;0.2,"Low Discount",IF(D36&lt;=0.4,"Medium Discount","High Discount"))</f>
        <v>Medium Discount</v>
      </c>
    </row>
    <row r="37" spans="1:11" x14ac:dyDescent="0.25">
      <c r="A37" t="s">
        <v>86</v>
      </c>
      <c r="B37" s="5">
        <v>899</v>
      </c>
      <c r="C37" s="5">
        <v>1814</v>
      </c>
      <c r="D37" s="7">
        <v>0.38</v>
      </c>
      <c r="E37">
        <v>-6</v>
      </c>
      <c r="F37">
        <f>ABS(E37)</f>
        <v>6</v>
      </c>
      <c r="G37" t="s">
        <v>87</v>
      </c>
      <c r="H37">
        <f>IFERROR(VALUE(LEFT(G37,FIND(" ",G37)-1)),"")</f>
        <v>2.2000000000000002</v>
      </c>
      <c r="I37" s="8">
        <f>C37 - B37</f>
        <v>915</v>
      </c>
      <c r="J37" t="str">
        <f>IF(H37&lt;3,"Poor",IF(H37&lt;=4.4,"Average","Excellent"))</f>
        <v>Poor</v>
      </c>
      <c r="K37" t="str">
        <f>IF(D37&lt;0.2,"Low Discount",IF(D37&lt;=0.4,"Medium Discount","High Discount"))</f>
        <v>Medium Discount</v>
      </c>
    </row>
    <row r="38" spans="1:11" x14ac:dyDescent="0.25">
      <c r="A38" t="s">
        <v>96</v>
      </c>
      <c r="B38" s="5">
        <v>790</v>
      </c>
      <c r="C38" s="5">
        <v>1814</v>
      </c>
      <c r="D38" s="7">
        <v>0.34</v>
      </c>
      <c r="E38">
        <v>-6</v>
      </c>
      <c r="F38">
        <f>ABS(E38)</f>
        <v>6</v>
      </c>
      <c r="G38" t="s">
        <v>87</v>
      </c>
      <c r="H38">
        <f>IFERROR(VALUE(LEFT(G38,FIND(" ",G38)-1)),"")</f>
        <v>2.2000000000000002</v>
      </c>
      <c r="I38" s="8">
        <f>C38 - B38</f>
        <v>1024</v>
      </c>
      <c r="J38" t="str">
        <f>IF(H38&lt;3,"Poor",IF(H38&lt;=4.4,"Average","Excellent"))</f>
        <v>Poor</v>
      </c>
      <c r="K38" t="str">
        <f>IF(D38&lt;0.2,"Low Discount",IF(D38&lt;=0.4,"Medium Discount","High Discount"))</f>
        <v>Medium Discount</v>
      </c>
    </row>
    <row r="39" spans="1:11" x14ac:dyDescent="0.25">
      <c r="A39" t="s">
        <v>13</v>
      </c>
      <c r="B39" s="5">
        <v>2999</v>
      </c>
      <c r="C39" s="5">
        <v>2356</v>
      </c>
      <c r="D39" s="7">
        <v>0.54</v>
      </c>
      <c r="E39">
        <v>-5</v>
      </c>
      <c r="F39">
        <f>ABS(E39)</f>
        <v>5</v>
      </c>
      <c r="G39" t="s">
        <v>14</v>
      </c>
      <c r="H39">
        <f>IFERROR(VALUE(LEFT(G39,FIND(" ",G39)-1)),"")</f>
        <v>4.8</v>
      </c>
      <c r="I39" s="8">
        <f>C39 - B39</f>
        <v>-643</v>
      </c>
      <c r="J39" t="str">
        <f>IF(H39&lt;3,"Poor",IF(H39&lt;=4.4,"Average","Excellent"))</f>
        <v>Excellent</v>
      </c>
      <c r="K39" t="str">
        <f>IF(D39&lt;0.2,"Low Discount",IF(D39&lt;=0.4,"Medium Discount","High Discount"))</f>
        <v>High Discount</v>
      </c>
    </row>
    <row r="40" spans="1:11" x14ac:dyDescent="0.25">
      <c r="A40" t="s">
        <v>19</v>
      </c>
      <c r="B40" s="5">
        <v>2319</v>
      </c>
      <c r="C40" s="5">
        <v>2800</v>
      </c>
      <c r="D40" s="7">
        <v>0.52</v>
      </c>
      <c r="E40">
        <v>-5</v>
      </c>
      <c r="F40">
        <f>ABS(E40)</f>
        <v>5</v>
      </c>
      <c r="G40" t="s">
        <v>14</v>
      </c>
      <c r="H40">
        <f>IFERROR(VALUE(LEFT(G40,FIND(" ",G40)-1)),"")</f>
        <v>4.8</v>
      </c>
      <c r="I40" s="8">
        <f>C40 - B40</f>
        <v>481</v>
      </c>
      <c r="J40" t="str">
        <f>IF(H40&lt;3,"Poor",IF(H40&lt;=4.4,"Average","Excellent"))</f>
        <v>Excellent</v>
      </c>
      <c r="K40" t="str">
        <f>IF(D40&lt;0.2,"Low Discount",IF(D40&lt;=0.4,"Medium Discount","High Discount"))</f>
        <v>High Discount</v>
      </c>
    </row>
    <row r="41" spans="1:11" x14ac:dyDescent="0.25">
      <c r="A41" t="s">
        <v>32</v>
      </c>
      <c r="B41" s="5">
        <v>1980</v>
      </c>
      <c r="C41" s="5">
        <v>3699</v>
      </c>
      <c r="D41" s="7">
        <v>0.49</v>
      </c>
      <c r="E41">
        <v>-5</v>
      </c>
      <c r="F41">
        <f>ABS(E41)</f>
        <v>5</v>
      </c>
      <c r="G41" t="s">
        <v>10</v>
      </c>
      <c r="H41">
        <f>IFERROR(VALUE(LEFT(G41,FIND(" ",G41)-1)),"")</f>
        <v>4.5999999999999996</v>
      </c>
      <c r="I41" s="8">
        <f>C41 - B41</f>
        <v>1719</v>
      </c>
      <c r="J41" t="str">
        <f>IF(H41&lt;3,"Poor",IF(H41&lt;=4.4,"Average","Excellent"))</f>
        <v>Excellent</v>
      </c>
      <c r="K41" t="str">
        <f>IF(D41&lt;0.2,"Low Discount",IF(D41&lt;=0.4,"Medium Discount","High Discount"))</f>
        <v>High Discount</v>
      </c>
    </row>
    <row r="42" spans="1:11" x14ac:dyDescent="0.25">
      <c r="A42" t="s">
        <v>20</v>
      </c>
      <c r="B42" s="5">
        <v>2300</v>
      </c>
      <c r="C42" s="5">
        <v>2929</v>
      </c>
      <c r="D42" s="7">
        <v>0.52</v>
      </c>
      <c r="E42">
        <v>-5</v>
      </c>
      <c r="F42">
        <f>ABS(E42)</f>
        <v>5</v>
      </c>
      <c r="G42" t="s">
        <v>21</v>
      </c>
      <c r="H42">
        <f>IFERROR(VALUE(LEFT(G42,FIND(" ",G42)-1)),"")</f>
        <v>3.8</v>
      </c>
      <c r="I42" s="8">
        <f>C42 - B42</f>
        <v>629</v>
      </c>
      <c r="J42" t="str">
        <f>IF(H42&lt;3,"Poor",IF(H42&lt;=4.4,"Average","Excellent"))</f>
        <v>Average</v>
      </c>
      <c r="K42" t="str">
        <f>IF(D42&lt;0.2,"Low Discount",IF(D42&lt;=0.4,"Medium Discount","High Discount"))</f>
        <v>High Discount</v>
      </c>
    </row>
    <row r="43" spans="1:11" x14ac:dyDescent="0.25">
      <c r="A43" t="s">
        <v>90</v>
      </c>
      <c r="B43" s="5">
        <v>850</v>
      </c>
      <c r="C43" s="5">
        <v>6143</v>
      </c>
      <c r="D43" s="7">
        <v>0.37</v>
      </c>
      <c r="E43">
        <v>-5</v>
      </c>
      <c r="F43">
        <f>ABS(E43)</f>
        <v>5</v>
      </c>
      <c r="G43" t="s">
        <v>77</v>
      </c>
      <c r="H43">
        <f>IFERROR(VALUE(LEFT(G43,FIND(" ",G43)-1)),"")</f>
        <v>3</v>
      </c>
      <c r="I43" s="8">
        <f>C43 - B43</f>
        <v>5293</v>
      </c>
      <c r="J43" t="str">
        <f>IF(H43&lt;3,"Poor",IF(H43&lt;=4.4,"Average","Excellent"))</f>
        <v>Average</v>
      </c>
      <c r="K43" t="str">
        <f>IF(D43&lt;0.2,"Low Discount",IF(D43&lt;=0.4,"Medium Discount","High Discount"))</f>
        <v>Medium Discount</v>
      </c>
    </row>
    <row r="44" spans="1:11" x14ac:dyDescent="0.25">
      <c r="A44" t="s">
        <v>93</v>
      </c>
      <c r="B44" s="5">
        <v>799</v>
      </c>
      <c r="C44" s="5">
        <v>3240</v>
      </c>
      <c r="D44" s="7">
        <v>0.35</v>
      </c>
      <c r="E44">
        <v>-5</v>
      </c>
      <c r="F44">
        <f>ABS(E44)</f>
        <v>5</v>
      </c>
      <c r="G44" t="s">
        <v>77</v>
      </c>
      <c r="H44">
        <f>IFERROR(VALUE(LEFT(G44,FIND(" ",G44)-1)),"")</f>
        <v>3</v>
      </c>
      <c r="I44" s="8">
        <f>C44 - B44</f>
        <v>2441</v>
      </c>
      <c r="J44" t="str">
        <f>IF(H44&lt;3,"Poor",IF(H44&lt;=4.4,"Average","Excellent"))</f>
        <v>Average</v>
      </c>
      <c r="K44" t="str">
        <f>IF(D44&lt;0.2,"Low Discount",IF(D44&lt;=0.4,"Medium Discount","High Discount"))</f>
        <v>Medium Discount</v>
      </c>
    </row>
    <row r="45" spans="1:11" x14ac:dyDescent="0.25">
      <c r="A45" t="s">
        <v>95</v>
      </c>
      <c r="B45" s="5">
        <v>799</v>
      </c>
      <c r="C45" s="5">
        <v>899</v>
      </c>
      <c r="D45" s="7">
        <v>0.34</v>
      </c>
      <c r="E45">
        <v>-5</v>
      </c>
      <c r="F45">
        <f>ABS(E45)</f>
        <v>5</v>
      </c>
      <c r="G45" t="s">
        <v>77</v>
      </c>
      <c r="H45">
        <f>IFERROR(VALUE(LEFT(G45,FIND(" ",G45)-1)),"")</f>
        <v>3</v>
      </c>
      <c r="I45" s="8">
        <f>C45 - B45</f>
        <v>100</v>
      </c>
      <c r="J45" t="str">
        <f>IF(H45&lt;3,"Poor",IF(H45&lt;=4.4,"Average","Excellent"))</f>
        <v>Average</v>
      </c>
      <c r="K45" t="str">
        <f>IF(D45&lt;0.2,"Low Discount",IF(D45&lt;=0.4,"Medium Discount","High Discount"))</f>
        <v>Medium Discount</v>
      </c>
    </row>
    <row r="46" spans="1:11" x14ac:dyDescent="0.25">
      <c r="A46" t="s">
        <v>31</v>
      </c>
      <c r="B46" s="5">
        <v>1980</v>
      </c>
      <c r="C46" s="5">
        <v>3971</v>
      </c>
      <c r="D46" s="7">
        <v>0.5</v>
      </c>
      <c r="E46">
        <v>-3</v>
      </c>
      <c r="F46">
        <f>ABS(E46)</f>
        <v>3</v>
      </c>
      <c r="G46" t="s">
        <v>29</v>
      </c>
      <c r="H46">
        <f>IFERROR(VALUE(LEFT(G46,FIND(" ",G46)-1)),"")</f>
        <v>5</v>
      </c>
      <c r="I46" s="8">
        <f>C46 - B46</f>
        <v>1991</v>
      </c>
      <c r="J46" t="str">
        <f>IF(H46&lt;3,"Poor",IF(H46&lt;=4.4,"Average","Excellent"))</f>
        <v>Excellent</v>
      </c>
      <c r="K46" t="str">
        <f>IF(D46&lt;0.2,"Low Discount",IF(D46&lt;=0.4,"Medium Discount","High Discount"))</f>
        <v>High Discount</v>
      </c>
    </row>
    <row r="47" spans="1:11" x14ac:dyDescent="0.25">
      <c r="A47" t="s">
        <v>28</v>
      </c>
      <c r="B47" s="5">
        <v>2048</v>
      </c>
      <c r="C47" s="5">
        <v>684</v>
      </c>
      <c r="D47" s="7">
        <v>0.5</v>
      </c>
      <c r="E47">
        <v>-2</v>
      </c>
      <c r="F47">
        <f>ABS(E47)</f>
        <v>2</v>
      </c>
      <c r="G47" t="s">
        <v>29</v>
      </c>
      <c r="H47">
        <f>IFERROR(VALUE(LEFT(G47,FIND(" ",G47)-1)),"")</f>
        <v>5</v>
      </c>
      <c r="I47" s="8">
        <f>C47 - B47</f>
        <v>-1364</v>
      </c>
      <c r="J47" t="str">
        <f>IF(H47&lt;3,"Poor",IF(H47&lt;=4.4,"Average","Excellent"))</f>
        <v>Excellent</v>
      </c>
      <c r="K47" t="str">
        <f>IF(D47&lt;0.2,"Low Discount",IF(D47&lt;=0.4,"Medium Discount","High Discount"))</f>
        <v>High Discount</v>
      </c>
    </row>
    <row r="48" spans="1:11" x14ac:dyDescent="0.25">
      <c r="A48" t="s">
        <v>30</v>
      </c>
      <c r="B48" s="5">
        <v>2025</v>
      </c>
      <c r="C48" s="5">
        <v>360</v>
      </c>
      <c r="D48" s="7">
        <v>0.5</v>
      </c>
      <c r="E48">
        <v>-2</v>
      </c>
      <c r="F48">
        <f>ABS(E48)</f>
        <v>2</v>
      </c>
      <c r="G48" t="s">
        <v>29</v>
      </c>
      <c r="H48">
        <f>IFERROR(VALUE(LEFT(G48,FIND(" ",G48)-1)),"")</f>
        <v>5</v>
      </c>
      <c r="I48" s="8">
        <f>C48 - B48</f>
        <v>-1665</v>
      </c>
      <c r="J48" t="str">
        <f>IF(H48&lt;3,"Poor",IF(H48&lt;=4.4,"Average","Excellent"))</f>
        <v>Excellent</v>
      </c>
      <c r="K48" t="str">
        <f>IF(D48&lt;0.2,"Low Discount",IF(D48&lt;=0.4,"Medium Discount","High Discount"))</f>
        <v>High Discount</v>
      </c>
    </row>
    <row r="49" spans="1:11" x14ac:dyDescent="0.25">
      <c r="A49" t="s">
        <v>52</v>
      </c>
      <c r="B49" s="5">
        <v>1526</v>
      </c>
      <c r="C49" s="5">
        <v>360</v>
      </c>
      <c r="D49" s="7">
        <v>0.47</v>
      </c>
      <c r="E49">
        <v>-2</v>
      </c>
      <c r="F49">
        <f>ABS(E49)</f>
        <v>2</v>
      </c>
      <c r="G49" t="s">
        <v>29</v>
      </c>
      <c r="H49">
        <f>IFERROR(VALUE(LEFT(G49,FIND(" ",G49)-1)),"")</f>
        <v>5</v>
      </c>
      <c r="I49" s="8">
        <f>C49 - B49</f>
        <v>-1166</v>
      </c>
      <c r="J49" t="str">
        <f>IF(H49&lt;3,"Poor",IF(H49&lt;=4.4,"Average","Excellent"))</f>
        <v>Excellent</v>
      </c>
      <c r="K49" t="str">
        <f>IF(D49&lt;0.2,"Low Discount",IF(D49&lt;=0.4,"Medium Discount","High Discount"))</f>
        <v>High Discount</v>
      </c>
    </row>
    <row r="50" spans="1:11" x14ac:dyDescent="0.25">
      <c r="A50" t="s">
        <v>5</v>
      </c>
      <c r="B50" s="5">
        <v>3750</v>
      </c>
      <c r="C50" s="5">
        <v>1525</v>
      </c>
      <c r="D50" s="7">
        <v>0.64</v>
      </c>
      <c r="E50">
        <v>-2</v>
      </c>
      <c r="F50">
        <f>ABS(E50)</f>
        <v>2</v>
      </c>
      <c r="G50" t="s">
        <v>6</v>
      </c>
      <c r="H50">
        <f>IFERROR(VALUE(LEFT(G50,FIND(" ",G50)-1)),"")</f>
        <v>4.5</v>
      </c>
      <c r="I50" s="8">
        <f>C50 - B50</f>
        <v>-2225</v>
      </c>
      <c r="J50" t="str">
        <f>IF(H50&lt;3,"Poor",IF(H50&lt;=4.4,"Average","Excellent"))</f>
        <v>Excellent</v>
      </c>
      <c r="K50" t="str">
        <f>IF(D50&lt;0.2,"Low Discount",IF(D50&lt;=0.4,"Medium Discount","High Discount"))</f>
        <v>High Discount</v>
      </c>
    </row>
    <row r="51" spans="1:11" x14ac:dyDescent="0.25">
      <c r="A51" t="s">
        <v>54</v>
      </c>
      <c r="B51" s="5">
        <v>1466</v>
      </c>
      <c r="C51" s="5">
        <v>3200</v>
      </c>
      <c r="D51" s="7">
        <v>0.47</v>
      </c>
      <c r="E51">
        <v>-2</v>
      </c>
      <c r="F51">
        <f>ABS(E51)</f>
        <v>2</v>
      </c>
      <c r="G51" t="s">
        <v>6</v>
      </c>
      <c r="H51">
        <f>IFERROR(VALUE(LEFT(G51,FIND(" ",G51)-1)),"")</f>
        <v>4.5</v>
      </c>
      <c r="I51" s="8">
        <f>C51 - B51</f>
        <v>1734</v>
      </c>
      <c r="J51" t="str">
        <f>IF(H51&lt;3,"Poor",IF(H51&lt;=4.4,"Average","Excellent"))</f>
        <v>Excellent</v>
      </c>
      <c r="K51" t="str">
        <f>IF(D51&lt;0.2,"Low Discount",IF(D51&lt;=0.4,"Medium Discount","High Discount"))</f>
        <v>High Discount</v>
      </c>
    </row>
    <row r="52" spans="1:11" x14ac:dyDescent="0.25">
      <c r="A52" t="s">
        <v>18</v>
      </c>
      <c r="B52" s="5">
        <v>2750</v>
      </c>
      <c r="C52" s="5">
        <v>1580</v>
      </c>
      <c r="D52" s="7">
        <v>0.53</v>
      </c>
      <c r="E52">
        <v>-2</v>
      </c>
      <c r="F52">
        <f>ABS(E52)</f>
        <v>2</v>
      </c>
      <c r="G52" t="s">
        <v>16</v>
      </c>
      <c r="H52">
        <f>IFERROR(VALUE(LEFT(G52,FIND(" ",G52)-1)),"")</f>
        <v>4</v>
      </c>
      <c r="I52" s="8">
        <f>C52 - B52</f>
        <v>-1170</v>
      </c>
      <c r="J52" t="str">
        <f>IF(H52&lt;3,"Poor",IF(H52&lt;=4.4,"Average","Excellent"))</f>
        <v>Average</v>
      </c>
      <c r="K52" t="str">
        <f>IF(D52&lt;0.2,"Low Discount",IF(D52&lt;=0.4,"Medium Discount","High Discount"))</f>
        <v>High Discount</v>
      </c>
    </row>
    <row r="53" spans="1:11" x14ac:dyDescent="0.25">
      <c r="A53" t="s">
        <v>51</v>
      </c>
      <c r="B53" s="5">
        <v>1570</v>
      </c>
      <c r="C53" s="5">
        <v>2690</v>
      </c>
      <c r="D53" s="7">
        <v>0.47</v>
      </c>
      <c r="E53">
        <v>-1</v>
      </c>
      <c r="F53">
        <f>ABS(E53)</f>
        <v>1</v>
      </c>
      <c r="G53" t="s">
        <v>29</v>
      </c>
      <c r="H53">
        <f>IFERROR(VALUE(LEFT(G53,FIND(" ",G53)-1)),"")</f>
        <v>5</v>
      </c>
      <c r="I53" s="8">
        <f>C53 - B53</f>
        <v>1120</v>
      </c>
      <c r="J53" t="str">
        <f>IF(H53&lt;3,"Poor",IF(H53&lt;=4.4,"Average","Excellent"))</f>
        <v>Excellent</v>
      </c>
      <c r="K53" t="str">
        <f>IF(D53&lt;0.2,"Low Discount",IF(D53&lt;=0.4,"Medium Discount","High Discount"))</f>
        <v>High Discount</v>
      </c>
    </row>
    <row r="54" spans="1:11" x14ac:dyDescent="0.25">
      <c r="A54" t="s">
        <v>103</v>
      </c>
      <c r="B54" s="5">
        <v>527</v>
      </c>
      <c r="C54" s="5">
        <v>1920</v>
      </c>
      <c r="D54" s="7">
        <v>0.28999999999999998</v>
      </c>
      <c r="E54">
        <v>-1</v>
      </c>
      <c r="F54">
        <f>ABS(E54)</f>
        <v>1</v>
      </c>
      <c r="G54" t="s">
        <v>29</v>
      </c>
      <c r="H54">
        <f>IFERROR(VALUE(LEFT(G54,FIND(" ",G54)-1)),"")</f>
        <v>5</v>
      </c>
      <c r="I54" s="8">
        <f>C54 - B54</f>
        <v>1393</v>
      </c>
      <c r="J54" t="str">
        <f>IF(H54&lt;3,"Poor",IF(H54&lt;=4.4,"Average","Excellent"))</f>
        <v>Excellent</v>
      </c>
      <c r="K54" t="str">
        <f>IF(D54&lt;0.2,"Low Discount",IF(D54&lt;=0.4,"Medium Discount","High Discount"))</f>
        <v>Medium Discount</v>
      </c>
    </row>
    <row r="55" spans="1:11" x14ac:dyDescent="0.25">
      <c r="A55" t="s">
        <v>123</v>
      </c>
      <c r="B55" s="5">
        <v>238</v>
      </c>
      <c r="C55" s="5">
        <v>4588</v>
      </c>
      <c r="D55" s="7">
        <v>0.08</v>
      </c>
      <c r="E55">
        <v>-1</v>
      </c>
      <c r="F55">
        <f>ABS(E55)</f>
        <v>1</v>
      </c>
      <c r="G55" t="s">
        <v>29</v>
      </c>
      <c r="H55">
        <f>IFERROR(VALUE(LEFT(G55,FIND(" ",G55)-1)),"")</f>
        <v>5</v>
      </c>
      <c r="I55" s="8">
        <f>C55 - B55</f>
        <v>4350</v>
      </c>
      <c r="J55" t="str">
        <f>IF(H55&lt;3,"Poor",IF(H55&lt;=4.4,"Average","Excellent"))</f>
        <v>Excellent</v>
      </c>
      <c r="K55" t="str">
        <f>IF(D55&lt;0.2,"Low Discount",IF(D55&lt;=0.4,"Medium Discount","High Discount"))</f>
        <v>Low Discount</v>
      </c>
    </row>
    <row r="56" spans="1:11" x14ac:dyDescent="0.25">
      <c r="A56" t="s">
        <v>106</v>
      </c>
      <c r="B56" s="5">
        <v>501</v>
      </c>
      <c r="C56" s="5">
        <v>647</v>
      </c>
      <c r="D56" s="7">
        <v>0.27</v>
      </c>
      <c r="E56">
        <v>-1</v>
      </c>
      <c r="F56">
        <f>ABS(E56)</f>
        <v>1</v>
      </c>
      <c r="G56" t="s">
        <v>16</v>
      </c>
      <c r="H56">
        <f>IFERROR(VALUE(LEFT(G56,FIND(" ",G56)-1)),"")</f>
        <v>4</v>
      </c>
      <c r="I56" s="8">
        <f>C56 - B56</f>
        <v>146</v>
      </c>
      <c r="J56" t="str">
        <f>IF(H56&lt;3,"Poor",IF(H56&lt;=4.4,"Average","Excellent"))</f>
        <v>Average</v>
      </c>
      <c r="K56" t="str">
        <f>IF(D56&lt;0.2,"Low Discount",IF(D56&lt;=0.4,"Medium Discount","High Discount"))</f>
        <v>Medium Discount</v>
      </c>
    </row>
    <row r="57" spans="1:11" x14ac:dyDescent="0.25">
      <c r="A57" t="s">
        <v>102</v>
      </c>
      <c r="B57" s="5">
        <v>552</v>
      </c>
      <c r="C57" s="5">
        <v>2199</v>
      </c>
      <c r="D57" s="7">
        <v>0.3</v>
      </c>
      <c r="E57">
        <v>-1</v>
      </c>
      <c r="F57">
        <f>ABS(E57)</f>
        <v>1</v>
      </c>
      <c r="G57" t="s">
        <v>77</v>
      </c>
      <c r="H57">
        <f>IFERROR(VALUE(LEFT(G57,FIND(" ",G57)-1)),"")</f>
        <v>3</v>
      </c>
      <c r="I57" s="8">
        <f>C57 - B57</f>
        <v>1647</v>
      </c>
      <c r="J57" t="str">
        <f>IF(H57&lt;3,"Poor",IF(H57&lt;=4.4,"Average","Excellent"))</f>
        <v>Average</v>
      </c>
      <c r="K57" t="str">
        <f>IF(D57&lt;0.2,"Low Discount",IF(D57&lt;=0.4,"Medium Discount","High Discount"))</f>
        <v>Medium Discount</v>
      </c>
    </row>
    <row r="58" spans="1:11" x14ac:dyDescent="0.25">
      <c r="A58" t="s">
        <v>132</v>
      </c>
      <c r="B58" s="5">
        <v>105</v>
      </c>
      <c r="C58" s="5">
        <v>900</v>
      </c>
      <c r="D58" s="7">
        <v>0.02</v>
      </c>
      <c r="E58">
        <v>-1</v>
      </c>
      <c r="F58">
        <f>ABS(E58)</f>
        <v>1</v>
      </c>
      <c r="G58" t="s">
        <v>133</v>
      </c>
      <c r="H58">
        <f>IFERROR(VALUE(LEFT(G58,FIND(" ",G58)-1)),"")</f>
        <v>2</v>
      </c>
      <c r="I58" s="8">
        <f>C58 - B58</f>
        <v>795</v>
      </c>
      <c r="J58" t="str">
        <f>IF(H58&lt;3,"Poor",IF(H58&lt;=4.4,"Average","Excellent"))</f>
        <v>Poor</v>
      </c>
      <c r="K58" t="str">
        <f>IF(D58&lt;0.2,"Low Discount",IF(D58&lt;=0.4,"Medium Discount","High Discount"))</f>
        <v>Low Discount</v>
      </c>
    </row>
    <row r="59" spans="1:11" x14ac:dyDescent="0.25">
      <c r="A59" t="s">
        <v>36</v>
      </c>
      <c r="B59" s="5">
        <v>1860</v>
      </c>
      <c r="C59" s="5">
        <v>3220</v>
      </c>
      <c r="D59" s="7">
        <v>0.49</v>
      </c>
      <c r="F59">
        <f>ABS(E59)</f>
        <v>0</v>
      </c>
      <c r="H59" t="str">
        <f>IFERROR(VALUE(LEFT(G59,FIND(" ",G59)-1)),"")</f>
        <v/>
      </c>
      <c r="I59" s="8">
        <f>C59 - B59</f>
        <v>1360</v>
      </c>
      <c r="J59" t="str">
        <f>IF(H59&lt;3,"Poor",IF(H59&lt;=4.4,"Average","Excellent"))</f>
        <v>Excellent</v>
      </c>
      <c r="K59" t="str">
        <f>IF(D59&lt;0.2,"Low Discount",IF(D59&lt;=0.4,"Medium Discount","High Discount"))</f>
        <v>High Discount</v>
      </c>
    </row>
    <row r="60" spans="1:11" x14ac:dyDescent="0.25">
      <c r="A60" t="s">
        <v>136</v>
      </c>
      <c r="B60" s="5">
        <v>1660</v>
      </c>
      <c r="C60" s="5">
        <v>4080</v>
      </c>
      <c r="D60" s="7">
        <v>0.49</v>
      </c>
      <c r="F60">
        <f>ABS(E60)</f>
        <v>0</v>
      </c>
      <c r="H60" t="str">
        <f>IFERROR(VALUE(LEFT(G60,FIND(" ",G60)-1)),"")</f>
        <v/>
      </c>
      <c r="I60" s="8">
        <f>C60 - B60</f>
        <v>2420</v>
      </c>
      <c r="J60" t="str">
        <f>IF(H60&lt;3,"Poor",IF(H60&lt;=4.4,"Average","Excellent"))</f>
        <v>Excellent</v>
      </c>
      <c r="K60" t="str">
        <f>IF(D60&lt;0.2,"Low Discount",IF(D60&lt;=0.4,"Medium Discount","High Discount"))</f>
        <v>High Discount</v>
      </c>
    </row>
    <row r="61" spans="1:11" x14ac:dyDescent="0.25">
      <c r="A61" t="s">
        <v>55</v>
      </c>
      <c r="B61" s="5">
        <v>1462</v>
      </c>
      <c r="C61" s="5">
        <v>4471</v>
      </c>
      <c r="D61" s="7">
        <v>0.47</v>
      </c>
      <c r="F61">
        <f>ABS(E61)</f>
        <v>0</v>
      </c>
      <c r="H61" t="str">
        <f>IFERROR(VALUE(LEFT(G61,FIND(" ",G61)-1)),"")</f>
        <v/>
      </c>
      <c r="I61" s="8">
        <f>C61 - B61</f>
        <v>3009</v>
      </c>
      <c r="J61" t="str">
        <f>IF(H61&lt;3,"Poor",IF(H61&lt;=4.4,"Average","Excellent"))</f>
        <v>Excellent</v>
      </c>
      <c r="K61" t="str">
        <f>IF(D61&lt;0.2,"Low Discount",IF(D61&lt;=0.4,"Medium Discount","High Discount"))</f>
        <v>High Discount</v>
      </c>
    </row>
    <row r="62" spans="1:11" x14ac:dyDescent="0.25">
      <c r="A62" t="s">
        <v>56</v>
      </c>
      <c r="B62" s="5">
        <v>1460</v>
      </c>
      <c r="C62" s="5">
        <v>931</v>
      </c>
      <c r="D62" s="7">
        <v>0.47</v>
      </c>
      <c r="F62">
        <f>ABS(E62)</f>
        <v>0</v>
      </c>
      <c r="H62" t="str">
        <f>IFERROR(VALUE(LEFT(G62,FIND(" ",G62)-1)),"")</f>
        <v/>
      </c>
      <c r="I62" s="8">
        <f>C62 - B62</f>
        <v>-529</v>
      </c>
      <c r="J62" t="str">
        <f>IF(H62&lt;3,"Poor",IF(H62&lt;=4.4,"Average","Excellent"))</f>
        <v>Excellent</v>
      </c>
      <c r="K62" t="str">
        <f>IF(D62&lt;0.2,"Low Discount",IF(D62&lt;=0.4,"Medium Discount","High Discount"))</f>
        <v>High Discount</v>
      </c>
    </row>
    <row r="63" spans="1:11" x14ac:dyDescent="0.25">
      <c r="A63" t="s">
        <v>57</v>
      </c>
      <c r="B63" s="5">
        <v>1459</v>
      </c>
      <c r="C63" s="5">
        <v>476</v>
      </c>
      <c r="D63" s="7">
        <v>0.46</v>
      </c>
      <c r="F63">
        <f>ABS(E63)</f>
        <v>0</v>
      </c>
      <c r="H63" t="str">
        <f>IFERROR(VALUE(LEFT(G63,FIND(" ",G63)-1)),"")</f>
        <v/>
      </c>
      <c r="I63" s="8">
        <f>C63 - B63</f>
        <v>-983</v>
      </c>
      <c r="J63" t="str">
        <f>IF(H63&lt;3,"Poor",IF(H63&lt;=4.4,"Average","Excellent"))</f>
        <v>Excellent</v>
      </c>
      <c r="K63" t="str">
        <f>IF(D63&lt;0.2,"Low Discount",IF(D63&lt;=0.4,"Medium Discount","High Discount"))</f>
        <v>High Discount</v>
      </c>
    </row>
    <row r="64" spans="1:11" x14ac:dyDescent="0.25">
      <c r="A64" t="s">
        <v>58</v>
      </c>
      <c r="B64" s="5">
        <v>1420</v>
      </c>
      <c r="C64" s="5">
        <v>1060</v>
      </c>
      <c r="D64" s="7">
        <v>0.46</v>
      </c>
      <c r="F64">
        <f>ABS(E64)</f>
        <v>0</v>
      </c>
      <c r="H64" t="str">
        <f>IFERROR(VALUE(LEFT(G64,FIND(" ",G64)-1)),"")</f>
        <v/>
      </c>
      <c r="I64" s="8">
        <f>C64 - B64</f>
        <v>-360</v>
      </c>
      <c r="J64" t="str">
        <f>IF(H64&lt;3,"Poor",IF(H64&lt;=4.4,"Average","Excellent"))</f>
        <v>Excellent</v>
      </c>
      <c r="K64" t="str">
        <f>IF(D64&lt;0.2,"Low Discount",IF(D64&lt;=0.4,"Medium Discount","High Discount"))</f>
        <v>High Discount</v>
      </c>
    </row>
    <row r="65" spans="1:11" x14ac:dyDescent="0.25">
      <c r="A65" t="s">
        <v>59</v>
      </c>
      <c r="B65" s="5">
        <v>1350</v>
      </c>
      <c r="C65" s="5">
        <v>2169</v>
      </c>
      <c r="D65" s="7">
        <v>0.46</v>
      </c>
      <c r="F65">
        <f>ABS(E65)</f>
        <v>0</v>
      </c>
      <c r="H65" t="str">
        <f>IFERROR(VALUE(LEFT(G65,FIND(" ",G65)-1)),"")</f>
        <v/>
      </c>
      <c r="I65" s="8">
        <f>C65 - B65</f>
        <v>819</v>
      </c>
      <c r="J65" t="str">
        <f>IF(H65&lt;3,"Poor",IF(H65&lt;=4.4,"Average","Excellent"))</f>
        <v>Excellent</v>
      </c>
      <c r="K65" t="str">
        <f>IF(D65&lt;0.2,"Low Discount",IF(D65&lt;=0.4,"Medium Discount","High Discount"))</f>
        <v>High Discount</v>
      </c>
    </row>
    <row r="66" spans="1:11" x14ac:dyDescent="0.25">
      <c r="A66" t="s">
        <v>60</v>
      </c>
      <c r="B66" s="5">
        <v>1300</v>
      </c>
      <c r="C66" s="5">
        <v>2000</v>
      </c>
      <c r="D66" s="7">
        <v>0.45</v>
      </c>
      <c r="F66">
        <f>ABS(E66)</f>
        <v>0</v>
      </c>
      <c r="H66" t="str">
        <f>IFERROR(VALUE(LEFT(G66,FIND(" ",G66)-1)),"")</f>
        <v/>
      </c>
      <c r="I66" s="8">
        <f>C66 - B66</f>
        <v>700</v>
      </c>
      <c r="J66" t="str">
        <f>IF(H66&lt;3,"Poor",IF(H66&lt;=4.4,"Average","Excellent"))</f>
        <v>Excellent</v>
      </c>
      <c r="K66" t="str">
        <f>IF(D66&lt;0.2,"Low Discount",IF(D66&lt;=0.4,"Medium Discount","High Discount"))</f>
        <v>High Discount</v>
      </c>
    </row>
    <row r="67" spans="1:11" x14ac:dyDescent="0.25">
      <c r="A67" t="s">
        <v>61</v>
      </c>
      <c r="B67" s="5">
        <v>1274</v>
      </c>
      <c r="C67" s="5">
        <v>1785</v>
      </c>
      <c r="D67" s="7">
        <v>0.45</v>
      </c>
      <c r="F67">
        <f>ABS(E67)</f>
        <v>0</v>
      </c>
      <c r="H67" t="str">
        <f>IFERROR(VALUE(LEFT(G67,FIND(" ",G67)-1)),"")</f>
        <v/>
      </c>
      <c r="I67" s="8">
        <f>C67 - B67</f>
        <v>511</v>
      </c>
      <c r="J67" t="str">
        <f>IF(H67&lt;3,"Poor",IF(H67&lt;=4.4,"Average","Excellent"))</f>
        <v>Excellent</v>
      </c>
      <c r="K67" t="str">
        <f>IF(D67&lt;0.2,"Low Discount",IF(D67&lt;=0.4,"Medium Discount","High Discount"))</f>
        <v>High Discount</v>
      </c>
    </row>
    <row r="68" spans="1:11" x14ac:dyDescent="0.25">
      <c r="A68" t="s">
        <v>62</v>
      </c>
      <c r="B68" s="5">
        <v>1220</v>
      </c>
      <c r="C68" s="5">
        <v>1316</v>
      </c>
      <c r="D68" s="7">
        <v>0.45</v>
      </c>
      <c r="F68">
        <f>ABS(E68)</f>
        <v>0</v>
      </c>
      <c r="H68" t="str">
        <f>IFERROR(VALUE(LEFT(G68,FIND(" ",G68)-1)),"")</f>
        <v/>
      </c>
      <c r="I68" s="8">
        <f>C68 - B68</f>
        <v>96</v>
      </c>
      <c r="J68" t="str">
        <f>IF(H68&lt;3,"Poor",IF(H68&lt;=4.4,"Average","Excellent"))</f>
        <v>Excellent</v>
      </c>
      <c r="K68" t="str">
        <f>IF(D68&lt;0.2,"Low Discount",IF(D68&lt;=0.4,"Medium Discount","High Discount"))</f>
        <v>High Discount</v>
      </c>
    </row>
    <row r="69" spans="1:11" x14ac:dyDescent="0.25">
      <c r="A69" t="s">
        <v>63</v>
      </c>
      <c r="B69" s="5">
        <v>1200</v>
      </c>
      <c r="C69" s="5">
        <v>1950</v>
      </c>
      <c r="D69" s="7">
        <v>0.45</v>
      </c>
      <c r="F69">
        <f>ABS(E69)</f>
        <v>0</v>
      </c>
      <c r="H69" t="str">
        <f>IFERROR(VALUE(LEFT(G69,FIND(" ",G69)-1)),"")</f>
        <v/>
      </c>
      <c r="I69" s="8">
        <f>C69 - B69</f>
        <v>750</v>
      </c>
      <c r="J69" t="str">
        <f>IF(H69&lt;3,"Poor",IF(H69&lt;=4.4,"Average","Excellent"))</f>
        <v>Excellent</v>
      </c>
      <c r="K69" t="str">
        <f>IF(D69&lt;0.2,"Low Discount",IF(D69&lt;=0.4,"Medium Discount","High Discount"))</f>
        <v>High Discount</v>
      </c>
    </row>
    <row r="70" spans="1:11" x14ac:dyDescent="0.25">
      <c r="A70" t="s">
        <v>64</v>
      </c>
      <c r="B70" s="5">
        <v>1200</v>
      </c>
      <c r="C70" s="5">
        <v>504</v>
      </c>
      <c r="D70" s="7">
        <v>0.43</v>
      </c>
      <c r="F70">
        <f>ABS(E70)</f>
        <v>0</v>
      </c>
      <c r="H70" t="str">
        <f>IFERROR(VALUE(LEFT(G70,FIND(" ",G70)-1)),"")</f>
        <v/>
      </c>
      <c r="I70" s="8">
        <f>C70 - B70</f>
        <v>-696</v>
      </c>
      <c r="J70" t="str">
        <f>IF(H70&lt;3,"Poor",IF(H70&lt;=4.4,"Average","Excellent"))</f>
        <v>Excellent</v>
      </c>
      <c r="K70" t="str">
        <f>IF(D70&lt;0.2,"Low Discount",IF(D70&lt;=0.4,"Medium Discount","High Discount"))</f>
        <v>High Discount</v>
      </c>
    </row>
    <row r="71" spans="1:11" x14ac:dyDescent="0.25">
      <c r="A71" t="s">
        <v>65</v>
      </c>
      <c r="B71" s="5">
        <v>1190</v>
      </c>
      <c r="C71" s="5">
        <v>600</v>
      </c>
      <c r="D71" s="7">
        <v>0.43</v>
      </c>
      <c r="F71">
        <f>ABS(E71)</f>
        <v>0</v>
      </c>
      <c r="H71" t="str">
        <f>IFERROR(VALUE(LEFT(G71,FIND(" ",G71)-1)),"")</f>
        <v/>
      </c>
      <c r="I71" s="8">
        <f>C71 - B71</f>
        <v>-590</v>
      </c>
      <c r="J71" t="str">
        <f>IF(H71&lt;3,"Poor",IF(H71&lt;=4.4,"Average","Excellent"))</f>
        <v>Excellent</v>
      </c>
      <c r="K71" t="str">
        <f>IF(D71&lt;0.2,"Low Discount",IF(D71&lt;=0.4,"Medium Discount","High Discount"))</f>
        <v>High Discount</v>
      </c>
    </row>
    <row r="72" spans="1:11" x14ac:dyDescent="0.25">
      <c r="A72" t="s">
        <v>66</v>
      </c>
      <c r="B72" s="5">
        <v>1190</v>
      </c>
      <c r="C72" s="5">
        <v>1699</v>
      </c>
      <c r="D72" s="7">
        <v>0.43</v>
      </c>
      <c r="F72">
        <f>ABS(E72)</f>
        <v>0</v>
      </c>
      <c r="H72" t="str">
        <f>IFERROR(VALUE(LEFT(G72,FIND(" ",G72)-1)),"")</f>
        <v/>
      </c>
      <c r="I72" s="8">
        <f>C72 - B72</f>
        <v>509</v>
      </c>
      <c r="J72" t="str">
        <f>IF(H72&lt;3,"Poor",IF(H72&lt;=4.4,"Average","Excellent"))</f>
        <v>Excellent</v>
      </c>
      <c r="K72" t="str">
        <f>IF(D72&lt;0.2,"Low Discount",IF(D72&lt;=0.4,"Medium Discount","High Discount"))</f>
        <v>High Discount</v>
      </c>
    </row>
    <row r="73" spans="1:11" x14ac:dyDescent="0.25">
      <c r="A73" t="s">
        <v>67</v>
      </c>
      <c r="B73" s="5">
        <v>1189</v>
      </c>
      <c r="C73" s="5">
        <v>384</v>
      </c>
      <c r="D73" s="7">
        <v>0.43</v>
      </c>
      <c r="F73">
        <f>ABS(E73)</f>
        <v>0</v>
      </c>
      <c r="H73" t="str">
        <f>IFERROR(VALUE(LEFT(G73,FIND(" ",G73)-1)),"")</f>
        <v/>
      </c>
      <c r="I73" s="8">
        <f>C73 - B73</f>
        <v>-805</v>
      </c>
      <c r="J73" t="str">
        <f>IF(H73&lt;3,"Poor",IF(H73&lt;=4.4,"Average","Excellent"))</f>
        <v>Excellent</v>
      </c>
      <c r="K73" t="str">
        <f>IF(D73&lt;0.2,"Low Discount",IF(D73&lt;=0.4,"Medium Discount","High Discount"))</f>
        <v>High Discount</v>
      </c>
    </row>
    <row r="74" spans="1:11" x14ac:dyDescent="0.25">
      <c r="A74" t="s">
        <v>68</v>
      </c>
      <c r="B74" s="5">
        <v>1150</v>
      </c>
      <c r="C74" s="5">
        <v>1499</v>
      </c>
      <c r="D74" s="7">
        <v>0.42</v>
      </c>
      <c r="F74">
        <f>ABS(E74)</f>
        <v>0</v>
      </c>
      <c r="H74" t="str">
        <f>IFERROR(VALUE(LEFT(G74,FIND(" ",G74)-1)),"")</f>
        <v/>
      </c>
      <c r="I74" s="8">
        <f>C74 - B74</f>
        <v>349</v>
      </c>
      <c r="J74" t="str">
        <f>IF(H74&lt;3,"Poor",IF(H74&lt;=4.4,"Average","Excellent"))</f>
        <v>Excellent</v>
      </c>
      <c r="K74" t="str">
        <f>IF(D74&lt;0.2,"Low Discount",IF(D74&lt;=0.4,"Medium Discount","High Discount"))</f>
        <v>High Discount</v>
      </c>
    </row>
    <row r="75" spans="1:11" x14ac:dyDescent="0.25">
      <c r="A75" t="s">
        <v>69</v>
      </c>
      <c r="B75" s="5">
        <v>1080</v>
      </c>
      <c r="C75" s="5">
        <v>1343</v>
      </c>
      <c r="D75" s="7">
        <v>0.42</v>
      </c>
      <c r="F75">
        <f>ABS(E75)</f>
        <v>0</v>
      </c>
      <c r="H75" t="str">
        <f>IFERROR(VALUE(LEFT(G75,FIND(" ",G75)-1)),"")</f>
        <v/>
      </c>
      <c r="I75" s="8">
        <f>C75 - B75</f>
        <v>263</v>
      </c>
      <c r="J75" t="str">
        <f>IF(H75&lt;3,"Poor",IF(H75&lt;=4.4,"Average","Excellent"))</f>
        <v>Excellent</v>
      </c>
      <c r="K75" t="str">
        <f>IF(D75&lt;0.2,"Low Discount",IF(D75&lt;=0.4,"Medium Discount","High Discount"))</f>
        <v>High Discount</v>
      </c>
    </row>
    <row r="76" spans="1:11" x14ac:dyDescent="0.25">
      <c r="A76" t="s">
        <v>70</v>
      </c>
      <c r="B76" s="5">
        <v>1000</v>
      </c>
      <c r="C76" s="5">
        <v>900</v>
      </c>
      <c r="D76" s="7">
        <v>0.42</v>
      </c>
      <c r="F76">
        <f>ABS(E76)</f>
        <v>0</v>
      </c>
      <c r="H76" t="str">
        <f>IFERROR(VALUE(LEFT(G76,FIND(" ",G76)-1)),"")</f>
        <v/>
      </c>
      <c r="I76" s="8">
        <f>C76 - B76</f>
        <v>-100</v>
      </c>
      <c r="J76" t="str">
        <f>IF(H76&lt;3,"Poor",IF(H76&lt;=4.4,"Average","Excellent"))</f>
        <v>Excellent</v>
      </c>
      <c r="K76" t="str">
        <f>IF(D76&lt;0.2,"Low Discount",IF(D76&lt;=0.4,"Medium Discount","High Discount"))</f>
        <v>High Discount</v>
      </c>
    </row>
    <row r="77" spans="1:11" x14ac:dyDescent="0.25">
      <c r="A77" t="s">
        <v>71</v>
      </c>
      <c r="B77" s="5">
        <v>999</v>
      </c>
      <c r="C77" s="5">
        <v>1343</v>
      </c>
      <c r="D77" s="7">
        <v>0.42</v>
      </c>
      <c r="F77">
        <f>ABS(E77)</f>
        <v>0</v>
      </c>
      <c r="H77" t="str">
        <f>IFERROR(VALUE(LEFT(G77,FIND(" ",G77)-1)),"")</f>
        <v/>
      </c>
      <c r="I77" s="8">
        <f>C77 - B77</f>
        <v>344</v>
      </c>
      <c r="J77" t="str">
        <f>IF(H77&lt;3,"Poor",IF(H77&lt;=4.4,"Average","Excellent"))</f>
        <v>Excellent</v>
      </c>
      <c r="K77" t="str">
        <f>IF(D77&lt;0.2,"Low Discount",IF(D77&lt;=0.4,"Medium Discount","High Discount"))</f>
        <v>High Discount</v>
      </c>
    </row>
    <row r="78" spans="1:11" x14ac:dyDescent="0.25">
      <c r="A78" t="s">
        <v>72</v>
      </c>
      <c r="B78" s="5">
        <v>998</v>
      </c>
      <c r="C78" s="5">
        <v>1567</v>
      </c>
      <c r="D78" s="7">
        <v>0.41</v>
      </c>
      <c r="F78">
        <f>ABS(E78)</f>
        <v>0</v>
      </c>
      <c r="H78" t="str">
        <f>IFERROR(VALUE(LEFT(G78,FIND(" ",G78)-1)),"")</f>
        <v/>
      </c>
      <c r="I78" s="8">
        <f>C78 - B78</f>
        <v>569</v>
      </c>
      <c r="J78" t="str">
        <f>IF(H78&lt;3,"Poor",IF(H78&lt;=4.4,"Average","Excellent"))</f>
        <v>Excellent</v>
      </c>
      <c r="K78" t="str">
        <f>IF(D78&lt;0.2,"Low Discount",IF(D78&lt;=0.4,"Medium Discount","High Discount"))</f>
        <v>High Discount</v>
      </c>
    </row>
    <row r="79" spans="1:11" x14ac:dyDescent="0.25">
      <c r="A79" t="s">
        <v>73</v>
      </c>
      <c r="B79" s="5">
        <v>990</v>
      </c>
      <c r="C79" s="5">
        <v>3810</v>
      </c>
      <c r="D79" s="7">
        <v>0.41</v>
      </c>
      <c r="F79">
        <f>ABS(E79)</f>
        <v>0</v>
      </c>
      <c r="H79" t="str">
        <f>IFERROR(VALUE(LEFT(G79,FIND(" ",G79)-1)),"")</f>
        <v/>
      </c>
      <c r="I79" s="8">
        <f>C79 - B79</f>
        <v>2820</v>
      </c>
      <c r="J79" t="str">
        <f>IF(H79&lt;3,"Poor",IF(H79&lt;=4.4,"Average","Excellent"))</f>
        <v>Excellent</v>
      </c>
      <c r="K79" t="str">
        <f>IF(D79&lt;0.2,"Low Discount",IF(D79&lt;=0.4,"Medium Discount","High Discount"))</f>
        <v>High Discount</v>
      </c>
    </row>
    <row r="80" spans="1:11" x14ac:dyDescent="0.25">
      <c r="A80" t="s">
        <v>98</v>
      </c>
      <c r="B80" s="5">
        <v>690</v>
      </c>
      <c r="C80" s="5">
        <v>1485</v>
      </c>
      <c r="D80" s="7">
        <v>0.34</v>
      </c>
      <c r="F80">
        <f>ABS(E80)</f>
        <v>0</v>
      </c>
      <c r="H80" t="str">
        <f>IFERROR(VALUE(LEFT(G80,FIND(" ",G80)-1)),"")</f>
        <v/>
      </c>
      <c r="I80" s="8">
        <f>C80 - B80</f>
        <v>795</v>
      </c>
      <c r="J80" t="str">
        <f>IF(H80&lt;3,"Poor",IF(H80&lt;=4.4,"Average","Excellent"))</f>
        <v>Excellent</v>
      </c>
      <c r="K80" t="str">
        <f>IF(D80&lt;0.2,"Low Discount",IF(D80&lt;=0.4,"Medium Discount","High Discount"))</f>
        <v>Medium Discount</v>
      </c>
    </row>
    <row r="81" spans="1:11" x14ac:dyDescent="0.25">
      <c r="A81" t="s">
        <v>99</v>
      </c>
      <c r="B81" s="5">
        <v>671</v>
      </c>
      <c r="C81" s="5">
        <v>1200</v>
      </c>
      <c r="D81" s="7">
        <v>0.33</v>
      </c>
      <c r="F81">
        <f>ABS(E81)</f>
        <v>0</v>
      </c>
      <c r="H81" t="str">
        <f>IFERROR(VALUE(LEFT(G81,FIND(" ",G81)-1)),"")</f>
        <v/>
      </c>
      <c r="I81" s="8">
        <f>C81 - B81</f>
        <v>529</v>
      </c>
      <c r="J81" t="str">
        <f>IF(H81&lt;3,"Poor",IF(H81&lt;=4.4,"Average","Excellent"))</f>
        <v>Excellent</v>
      </c>
      <c r="K81" t="str">
        <f>IF(D81&lt;0.2,"Low Discount",IF(D81&lt;=0.4,"Medium Discount","High Discount"))</f>
        <v>Medium Discount</v>
      </c>
    </row>
    <row r="82" spans="1:11" x14ac:dyDescent="0.25">
      <c r="A82" t="s">
        <v>100</v>
      </c>
      <c r="B82" s="5">
        <v>630</v>
      </c>
      <c r="C82" s="5">
        <v>1799</v>
      </c>
      <c r="D82" s="7">
        <v>0.33</v>
      </c>
      <c r="F82">
        <f>ABS(E82)</f>
        <v>0</v>
      </c>
      <c r="H82" t="str">
        <f>IFERROR(VALUE(LEFT(G82,FIND(" ",G82)-1)),"")</f>
        <v/>
      </c>
      <c r="I82" s="8">
        <f>C82 - B82</f>
        <v>1169</v>
      </c>
      <c r="J82" t="str">
        <f>IF(H82&lt;3,"Poor",IF(H82&lt;=4.4,"Average","Excellent"))</f>
        <v>Excellent</v>
      </c>
      <c r="K82" t="str">
        <f>IF(D82&lt;0.2,"Low Discount",IF(D82&lt;=0.4,"Medium Discount","High Discount"))</f>
        <v>Medium Discount</v>
      </c>
    </row>
    <row r="83" spans="1:11" x14ac:dyDescent="0.25">
      <c r="A83" t="s">
        <v>101</v>
      </c>
      <c r="B83" s="5">
        <v>610</v>
      </c>
      <c r="C83" s="5">
        <v>450</v>
      </c>
      <c r="D83" s="7">
        <v>0.32</v>
      </c>
      <c r="F83">
        <f>ABS(E83)</f>
        <v>0</v>
      </c>
      <c r="H83" t="str">
        <f>IFERROR(VALUE(LEFT(G83,FIND(" ",G83)-1)),"")</f>
        <v/>
      </c>
      <c r="I83" s="8">
        <f>C83 - B83</f>
        <v>-160</v>
      </c>
      <c r="J83" t="str">
        <f>IF(H83&lt;3,"Poor",IF(H83&lt;=4.4,"Average","Excellent"))</f>
        <v>Excellent</v>
      </c>
      <c r="K83" t="str">
        <f>IF(D83&lt;0.2,"Low Discount",IF(D83&lt;=0.4,"Medium Discount","High Discount"))</f>
        <v>Medium Discount</v>
      </c>
    </row>
    <row r="84" spans="1:11" x14ac:dyDescent="0.25">
      <c r="A84" t="s">
        <v>104</v>
      </c>
      <c r="B84" s="5">
        <v>525</v>
      </c>
      <c r="C84" s="5">
        <v>2290</v>
      </c>
      <c r="D84" s="7">
        <v>0.27</v>
      </c>
      <c r="F84">
        <f>ABS(E84)</f>
        <v>0</v>
      </c>
      <c r="H84" t="str">
        <f>IFERROR(VALUE(LEFT(G84,FIND(" ",G84)-1)),"")</f>
        <v/>
      </c>
      <c r="I84" s="8">
        <f>C84 - B84</f>
        <v>1765</v>
      </c>
      <c r="J84" t="str">
        <f>IF(H84&lt;3,"Poor",IF(H84&lt;=4.4,"Average","Excellent"))</f>
        <v>Excellent</v>
      </c>
      <c r="K84" t="str">
        <f>IF(D84&lt;0.2,"Low Discount",IF(D84&lt;=0.4,"Medium Discount","High Discount"))</f>
        <v>Medium Discount</v>
      </c>
    </row>
    <row r="85" spans="1:11" x14ac:dyDescent="0.25">
      <c r="A85" t="s">
        <v>105</v>
      </c>
      <c r="B85" s="5">
        <v>509</v>
      </c>
      <c r="C85" s="5">
        <v>1699</v>
      </c>
      <c r="D85" s="7">
        <v>0.27</v>
      </c>
      <c r="F85">
        <f>ABS(E85)</f>
        <v>0</v>
      </c>
      <c r="H85" t="str">
        <f>IFERROR(VALUE(LEFT(G85,FIND(" ",G85)-1)),"")</f>
        <v/>
      </c>
      <c r="I85" s="8">
        <f>C85 - B85</f>
        <v>1190</v>
      </c>
      <c r="J85" t="str">
        <f>IF(H85&lt;3,"Poor",IF(H85&lt;=4.4,"Average","Excellent"))</f>
        <v>Excellent</v>
      </c>
      <c r="K85" t="str">
        <f>IF(D85&lt;0.2,"Low Discount",IF(D85&lt;=0.4,"Medium Discount","High Discount"))</f>
        <v>Medium Discount</v>
      </c>
    </row>
    <row r="86" spans="1:11" x14ac:dyDescent="0.25">
      <c r="A86" t="s">
        <v>107</v>
      </c>
      <c r="B86" s="5">
        <v>499</v>
      </c>
      <c r="C86" s="5">
        <v>1699</v>
      </c>
      <c r="D86" s="7">
        <v>0.26</v>
      </c>
      <c r="F86">
        <f>ABS(E86)</f>
        <v>0</v>
      </c>
      <c r="H86" t="str">
        <f>IFERROR(VALUE(LEFT(G86,FIND(" ",G86)-1)),"")</f>
        <v/>
      </c>
      <c r="I86" s="8">
        <f>C86 - B86</f>
        <v>1200</v>
      </c>
      <c r="J86" t="str">
        <f>IF(H86&lt;3,"Poor",IF(H86&lt;=4.4,"Average","Excellent"))</f>
        <v>Excellent</v>
      </c>
      <c r="K86" t="str">
        <f>IF(D86&lt;0.2,"Low Discount",IF(D86&lt;=0.4,"Medium Discount","High Discount"))</f>
        <v>Medium Discount</v>
      </c>
    </row>
    <row r="87" spans="1:11" x14ac:dyDescent="0.25">
      <c r="A87" t="s">
        <v>108</v>
      </c>
      <c r="B87" s="5">
        <v>475</v>
      </c>
      <c r="C87" s="5">
        <v>537</v>
      </c>
      <c r="D87" s="7">
        <v>0.25</v>
      </c>
      <c r="F87">
        <f>ABS(E87)</f>
        <v>0</v>
      </c>
      <c r="H87" t="str">
        <f>IFERROR(VALUE(LEFT(G87,FIND(" ",G87)-1)),"")</f>
        <v/>
      </c>
      <c r="I87" s="8">
        <f>C87 - B87</f>
        <v>62</v>
      </c>
      <c r="J87" t="str">
        <f>IF(H87&lt;3,"Poor",IF(H87&lt;=4.4,"Average","Excellent"))</f>
        <v>Excellent</v>
      </c>
      <c r="K87" t="str">
        <f>IF(D87&lt;0.2,"Low Discount",IF(D87&lt;=0.4,"Medium Discount","High Discount"))</f>
        <v>Medium Discount</v>
      </c>
    </row>
    <row r="88" spans="1:11" x14ac:dyDescent="0.25">
      <c r="A88" t="s">
        <v>109</v>
      </c>
      <c r="B88" s="5">
        <v>458</v>
      </c>
      <c r="C88" s="5">
        <v>900</v>
      </c>
      <c r="D88" s="7">
        <v>0.24</v>
      </c>
      <c r="F88">
        <f>ABS(E88)</f>
        <v>0</v>
      </c>
      <c r="H88" t="str">
        <f>IFERROR(VALUE(LEFT(G88,FIND(" ",G88)-1)),"")</f>
        <v/>
      </c>
      <c r="I88" s="8">
        <f>C88 - B88</f>
        <v>442</v>
      </c>
      <c r="J88" t="str">
        <f>IF(H88&lt;3,"Poor",IF(H88&lt;=4.4,"Average","Excellent"))</f>
        <v>Excellent</v>
      </c>
      <c r="K88" t="str">
        <f>IF(D88&lt;0.2,"Low Discount",IF(D88&lt;=0.4,"Medium Discount","High Discount"))</f>
        <v>Medium Discount</v>
      </c>
    </row>
    <row r="89" spans="1:11" x14ac:dyDescent="0.25">
      <c r="A89" t="s">
        <v>110</v>
      </c>
      <c r="B89" s="5">
        <v>450</v>
      </c>
      <c r="C89" s="5">
        <v>1699</v>
      </c>
      <c r="D89" s="7">
        <v>0.24</v>
      </c>
      <c r="F89">
        <f>ABS(E89)</f>
        <v>0</v>
      </c>
      <c r="H89" t="str">
        <f>IFERROR(VALUE(LEFT(G89,FIND(" ",G89)-1)),"")</f>
        <v/>
      </c>
      <c r="I89" s="8">
        <f>C89 - B89</f>
        <v>1249</v>
      </c>
      <c r="J89" t="str">
        <f>IF(H89&lt;3,"Poor",IF(H89&lt;=4.4,"Average","Excellent"))</f>
        <v>Excellent</v>
      </c>
      <c r="K89" t="str">
        <f>IF(D89&lt;0.2,"Low Discount",IF(D89&lt;=0.4,"Medium Discount","High Discount"))</f>
        <v>Medium Discount</v>
      </c>
    </row>
    <row r="90" spans="1:11" x14ac:dyDescent="0.25">
      <c r="A90" t="s">
        <v>111</v>
      </c>
      <c r="B90" s="5">
        <v>445</v>
      </c>
      <c r="C90" s="5">
        <v>1100</v>
      </c>
      <c r="D90" s="7">
        <v>0.23</v>
      </c>
      <c r="F90">
        <f>ABS(E90)</f>
        <v>0</v>
      </c>
      <c r="H90" t="str">
        <f>IFERROR(VALUE(LEFT(G90,FIND(" ",G90)-1)),"")</f>
        <v/>
      </c>
      <c r="I90" s="8">
        <f>C90 - B90</f>
        <v>655</v>
      </c>
      <c r="J90" t="str">
        <f>IF(H90&lt;3,"Poor",IF(H90&lt;=4.4,"Average","Excellent"))</f>
        <v>Excellent</v>
      </c>
      <c r="K90" t="str">
        <f>IF(D90&lt;0.2,"Low Discount",IF(D90&lt;=0.4,"Medium Discount","High Discount"))</f>
        <v>Medium Discount</v>
      </c>
    </row>
    <row r="91" spans="1:11" x14ac:dyDescent="0.25">
      <c r="A91" t="s">
        <v>112</v>
      </c>
      <c r="B91" s="5">
        <v>420</v>
      </c>
      <c r="C91" s="5">
        <v>1700</v>
      </c>
      <c r="D91" s="7">
        <v>0.22</v>
      </c>
      <c r="F91">
        <f>ABS(E91)</f>
        <v>0</v>
      </c>
      <c r="H91" t="str">
        <f>IFERROR(VALUE(LEFT(G91,FIND(" ",G91)-1)),"")</f>
        <v/>
      </c>
      <c r="I91" s="8">
        <f>C91 - B91</f>
        <v>1280</v>
      </c>
      <c r="J91" t="str">
        <f>IF(H91&lt;3,"Poor",IF(H91&lt;=4.4,"Average","Excellent"))</f>
        <v>Excellent</v>
      </c>
      <c r="K91" t="str">
        <f>IF(D91&lt;0.2,"Low Discount",IF(D91&lt;=0.4,"Medium Discount","High Discount"))</f>
        <v>Medium Discount</v>
      </c>
    </row>
    <row r="92" spans="1:11" x14ac:dyDescent="0.25">
      <c r="A92" t="s">
        <v>113</v>
      </c>
      <c r="B92" s="5">
        <v>389</v>
      </c>
      <c r="C92" s="5">
        <v>2500</v>
      </c>
      <c r="D92" s="7">
        <v>0.22</v>
      </c>
      <c r="F92">
        <f>ABS(E92)</f>
        <v>0</v>
      </c>
      <c r="H92" t="str">
        <f>IFERROR(VALUE(LEFT(G92,FIND(" ",G92)-1)),"")</f>
        <v/>
      </c>
      <c r="I92" s="8">
        <f>C92 - B92</f>
        <v>2111</v>
      </c>
      <c r="J92" t="str">
        <f>IF(H92&lt;3,"Poor",IF(H92&lt;=4.4,"Average","Excellent"))</f>
        <v>Excellent</v>
      </c>
      <c r="K92" t="str">
        <f>IF(D92&lt;0.2,"Low Discount",IF(D92&lt;=0.4,"Medium Discount","High Discount"))</f>
        <v>Medium Discount</v>
      </c>
    </row>
    <row r="93" spans="1:11" x14ac:dyDescent="0.25">
      <c r="A93" t="s">
        <v>114</v>
      </c>
      <c r="B93" s="5">
        <v>382</v>
      </c>
      <c r="C93" s="5">
        <v>200</v>
      </c>
      <c r="D93" s="7">
        <v>0.21</v>
      </c>
      <c r="F93">
        <f>ABS(E93)</f>
        <v>0</v>
      </c>
      <c r="H93" t="str">
        <f>IFERROR(VALUE(LEFT(G93,FIND(" ",G93)-1)),"")</f>
        <v/>
      </c>
      <c r="I93" s="8">
        <f>C93 - B93</f>
        <v>-182</v>
      </c>
      <c r="J93" t="str">
        <f>IF(H93&lt;3,"Poor",IF(H93&lt;=4.4,"Average","Excellent"))</f>
        <v>Excellent</v>
      </c>
      <c r="K93" t="str">
        <f>IF(D93&lt;0.2,"Low Discount",IF(D93&lt;=0.4,"Medium Discount","High Discount"))</f>
        <v>Medium Discount</v>
      </c>
    </row>
    <row r="94" spans="1:11" x14ac:dyDescent="0.25">
      <c r="A94" t="s">
        <v>115</v>
      </c>
      <c r="B94" s="5">
        <v>345</v>
      </c>
      <c r="C94" s="5">
        <v>1699</v>
      </c>
      <c r="D94" s="7">
        <v>0.2</v>
      </c>
      <c r="F94">
        <f>ABS(E94)</f>
        <v>0</v>
      </c>
      <c r="H94" t="str">
        <f>IFERROR(VALUE(LEFT(G94,FIND(" ",G94)-1)),"")</f>
        <v/>
      </c>
      <c r="I94" s="8">
        <f>C94 - B94</f>
        <v>1354</v>
      </c>
      <c r="J94" t="str">
        <f>IF(H94&lt;3,"Poor",IF(H94&lt;=4.4,"Average","Excellent"))</f>
        <v>Excellent</v>
      </c>
      <c r="K94" t="str">
        <f>IF(D94&lt;0.2,"Low Discount",IF(D94&lt;=0.4,"Medium Discount","High Discount"))</f>
        <v>Medium Discount</v>
      </c>
    </row>
    <row r="95" spans="1:11" x14ac:dyDescent="0.25">
      <c r="A95" t="s">
        <v>116</v>
      </c>
      <c r="B95" s="5">
        <v>332</v>
      </c>
      <c r="C95" s="5">
        <v>2400</v>
      </c>
      <c r="D95" s="7">
        <v>0.19</v>
      </c>
      <c r="F95">
        <f>ABS(E95)</f>
        <v>0</v>
      </c>
      <c r="H95" t="str">
        <f>IFERROR(VALUE(LEFT(G95,FIND(" ",G95)-1)),"")</f>
        <v/>
      </c>
      <c r="I95" s="8">
        <f>C95 - B95</f>
        <v>2068</v>
      </c>
      <c r="J95" t="str">
        <f>IF(H95&lt;3,"Poor",IF(H95&lt;=4.4,"Average","Excellent"))</f>
        <v>Excellent</v>
      </c>
      <c r="K95" t="str">
        <f>IF(D95&lt;0.2,"Low Discount",IF(D95&lt;=0.4,"Medium Discount","High Discount"))</f>
        <v>Low Discount</v>
      </c>
    </row>
    <row r="96" spans="1:11" x14ac:dyDescent="0.25">
      <c r="A96" t="s">
        <v>117</v>
      </c>
      <c r="B96" s="5">
        <v>330</v>
      </c>
      <c r="C96" s="5">
        <v>1660</v>
      </c>
      <c r="D96" s="7">
        <v>0.18</v>
      </c>
      <c r="F96">
        <f>ABS(E96)</f>
        <v>0</v>
      </c>
      <c r="H96" t="str">
        <f>IFERROR(VALUE(LEFT(G96,FIND(" ",G96)-1)),"")</f>
        <v/>
      </c>
      <c r="I96" s="8">
        <f>C96 - B96</f>
        <v>1330</v>
      </c>
      <c r="J96" t="str">
        <f>IF(H96&lt;3,"Poor",IF(H96&lt;=4.4,"Average","Excellent"))</f>
        <v>Excellent</v>
      </c>
      <c r="K96" t="str">
        <f>IF(D96&lt;0.2,"Low Discount",IF(D96&lt;=0.4,"Medium Discount","High Discount"))</f>
        <v>Low Discount</v>
      </c>
    </row>
    <row r="97" spans="1:11" x14ac:dyDescent="0.25">
      <c r="A97" t="s">
        <v>118</v>
      </c>
      <c r="B97" s="5">
        <v>325</v>
      </c>
      <c r="C97" s="5">
        <v>1499</v>
      </c>
      <c r="D97" s="7">
        <v>0.14000000000000001</v>
      </c>
      <c r="F97">
        <f>ABS(E97)</f>
        <v>0</v>
      </c>
      <c r="H97" t="str">
        <f>IFERROR(VALUE(LEFT(G97,FIND(" ",G97)-1)),"")</f>
        <v/>
      </c>
      <c r="I97" s="8">
        <f>C97 - B97</f>
        <v>1174</v>
      </c>
      <c r="J97" t="str">
        <f>IF(H97&lt;3,"Poor",IF(H97&lt;=4.4,"Average","Excellent"))</f>
        <v>Excellent</v>
      </c>
      <c r="K97" t="str">
        <f>IF(D97&lt;0.2,"Low Discount",IF(D97&lt;=0.4,"Medium Discount","High Discount"))</f>
        <v>Low Discount</v>
      </c>
    </row>
    <row r="98" spans="1:11" x14ac:dyDescent="0.25">
      <c r="A98" t="s">
        <v>119</v>
      </c>
      <c r="B98" s="5">
        <v>299</v>
      </c>
      <c r="C98" s="5">
        <v>486</v>
      </c>
      <c r="D98" s="7">
        <v>0.14000000000000001</v>
      </c>
      <c r="F98">
        <f>ABS(E98)</f>
        <v>0</v>
      </c>
      <c r="H98" t="str">
        <f>IFERROR(VALUE(LEFT(G98,FIND(" ",G98)-1)),"")</f>
        <v/>
      </c>
      <c r="I98" s="8">
        <f>C98 - B98</f>
        <v>187</v>
      </c>
      <c r="J98" t="str">
        <f>IF(H98&lt;3,"Poor",IF(H98&lt;=4.4,"Average","Excellent"))</f>
        <v>Excellent</v>
      </c>
      <c r="K98" t="str">
        <f>IF(D98&lt;0.2,"Low Discount",IF(D98&lt;=0.4,"Medium Discount","High Discount"))</f>
        <v>Low Discount</v>
      </c>
    </row>
    <row r="99" spans="1:11" x14ac:dyDescent="0.25">
      <c r="A99" t="s">
        <v>120</v>
      </c>
      <c r="B99" s="5">
        <v>299</v>
      </c>
      <c r="C99" s="5">
        <v>3699</v>
      </c>
      <c r="D99" s="7">
        <v>0.13</v>
      </c>
      <c r="F99">
        <f>ABS(E99)</f>
        <v>0</v>
      </c>
      <c r="H99" t="str">
        <f>IFERROR(VALUE(LEFT(G99,FIND(" ",G99)-1)),"")</f>
        <v/>
      </c>
      <c r="I99" s="8">
        <f>C99 - B99</f>
        <v>3400</v>
      </c>
      <c r="J99" t="str">
        <f>IF(H99&lt;3,"Poor",IF(H99&lt;=4.4,"Average","Excellent"))</f>
        <v>Excellent</v>
      </c>
      <c r="K99" t="str">
        <f>IF(D99&lt;0.2,"Low Discount",IF(D99&lt;=0.4,"Medium Discount","High Discount"))</f>
        <v>Low Discount</v>
      </c>
    </row>
    <row r="100" spans="1:11" x14ac:dyDescent="0.25">
      <c r="A100" t="s">
        <v>121</v>
      </c>
      <c r="B100" s="5">
        <v>274</v>
      </c>
      <c r="C100" s="5">
        <v>1029</v>
      </c>
      <c r="D100" s="7">
        <v>0.11</v>
      </c>
      <c r="F100">
        <f>ABS(E100)</f>
        <v>0</v>
      </c>
      <c r="H100" t="str">
        <f>IFERROR(VALUE(LEFT(G100,FIND(" ",G100)-1)),"")</f>
        <v/>
      </c>
      <c r="I100" s="8">
        <f>C100 - B100</f>
        <v>755</v>
      </c>
      <c r="J100" t="str">
        <f>IF(H100&lt;3,"Poor",IF(H100&lt;=4.4,"Average","Excellent"))</f>
        <v>Excellent</v>
      </c>
      <c r="K100" t="str">
        <f>IF(D100&lt;0.2,"Low Discount",IF(D100&lt;=0.4,"Medium Discount","High Discount"))</f>
        <v>Low Discount</v>
      </c>
    </row>
    <row r="101" spans="1:11" x14ac:dyDescent="0.25">
      <c r="A101" t="s">
        <v>122</v>
      </c>
      <c r="B101" s="5">
        <v>248</v>
      </c>
      <c r="C101" s="5">
        <v>1874</v>
      </c>
      <c r="D101" s="7">
        <v>0.09</v>
      </c>
      <c r="F101">
        <f>ABS(E101)</f>
        <v>0</v>
      </c>
      <c r="H101" t="str">
        <f>IFERROR(VALUE(LEFT(G101,FIND(" ",G101)-1)),"")</f>
        <v/>
      </c>
      <c r="I101" s="8">
        <f>C101 - B101</f>
        <v>1626</v>
      </c>
      <c r="J101" t="str">
        <f>IF(H101&lt;3,"Poor",IF(H101&lt;=4.4,"Average","Excellent"))</f>
        <v>Excellent</v>
      </c>
      <c r="K101" t="str">
        <f>IF(D101&lt;0.2,"Low Discount",IF(D101&lt;=0.4,"Medium Discount","High Discount"))</f>
        <v>Low Discount</v>
      </c>
    </row>
    <row r="102" spans="1:11" x14ac:dyDescent="0.25">
      <c r="A102" t="s">
        <v>124</v>
      </c>
      <c r="B102" s="5">
        <v>230</v>
      </c>
      <c r="C102" s="5">
        <v>2420</v>
      </c>
      <c r="D102" s="7">
        <v>0.04</v>
      </c>
      <c r="F102">
        <f>ABS(E102)</f>
        <v>0</v>
      </c>
      <c r="H102" t="str">
        <f>IFERROR(VALUE(LEFT(G102,FIND(" ",G102)-1)),"")</f>
        <v/>
      </c>
      <c r="I102" s="8">
        <f>C102 - B102</f>
        <v>2190</v>
      </c>
      <c r="J102" t="str">
        <f>IF(H102&lt;3,"Poor",IF(H102&lt;=4.4,"Average","Excellent"))</f>
        <v>Excellent</v>
      </c>
      <c r="K102" t="str">
        <f>IF(D102&lt;0.2,"Low Discount",IF(D102&lt;=0.4,"Medium Discount","High Discount"))</f>
        <v>Low Discount</v>
      </c>
    </row>
    <row r="103" spans="1:11" x14ac:dyDescent="0.25">
      <c r="A103" t="s">
        <v>125</v>
      </c>
      <c r="B103" s="5">
        <v>199</v>
      </c>
      <c r="C103" s="5">
        <v>1899</v>
      </c>
      <c r="D103" s="7">
        <v>0.04</v>
      </c>
      <c r="F103">
        <f>ABS(E103)</f>
        <v>0</v>
      </c>
      <c r="H103" t="str">
        <f>IFERROR(VALUE(LEFT(G103,FIND(" ",G103)-1)),"")</f>
        <v/>
      </c>
      <c r="I103" s="8">
        <f>C103 - B103</f>
        <v>1700</v>
      </c>
      <c r="J103" t="str">
        <f>IF(H103&lt;3,"Poor",IF(H103&lt;=4.4,"Average","Excellent"))</f>
        <v>Excellent</v>
      </c>
      <c r="K103" t="str">
        <f>IF(D103&lt;0.2,"Low Discount",IF(D103&lt;=0.4,"Medium Discount","High Discount"))</f>
        <v>Low Discount</v>
      </c>
    </row>
    <row r="104" spans="1:11" x14ac:dyDescent="0.25">
      <c r="A104" t="s">
        <v>126</v>
      </c>
      <c r="B104" s="5">
        <v>199</v>
      </c>
      <c r="C104" s="5">
        <v>260</v>
      </c>
      <c r="D104" s="7">
        <v>0.03</v>
      </c>
      <c r="F104">
        <f>ABS(E104)</f>
        <v>0</v>
      </c>
      <c r="H104" t="str">
        <f>IFERROR(VALUE(LEFT(G104,FIND(" ",G104)-1)),"")</f>
        <v/>
      </c>
      <c r="I104" s="8">
        <f>C104 - B104</f>
        <v>61</v>
      </c>
      <c r="J104" t="str">
        <f>IF(H104&lt;3,"Poor",IF(H104&lt;=4.4,"Average","Excellent"))</f>
        <v>Excellent</v>
      </c>
      <c r="K104" t="str">
        <f>IF(D104&lt;0.2,"Low Discount",IF(D104&lt;=0.4,"Medium Discount","High Discount"))</f>
        <v>Low Discount</v>
      </c>
    </row>
    <row r="105" spans="1:11" x14ac:dyDescent="0.25">
      <c r="A105" t="s">
        <v>127</v>
      </c>
      <c r="B105" s="5">
        <v>198</v>
      </c>
      <c r="C105" s="5">
        <v>1737</v>
      </c>
      <c r="D105" s="7">
        <v>0.02</v>
      </c>
      <c r="F105">
        <f>ABS(E105)</f>
        <v>0</v>
      </c>
      <c r="H105" t="str">
        <f>IFERROR(VALUE(LEFT(G105,FIND(" ",G105)-1)),"")</f>
        <v/>
      </c>
      <c r="I105" s="8">
        <f>C105 - B105</f>
        <v>1539</v>
      </c>
      <c r="J105" t="str">
        <f>IF(H105&lt;3,"Poor",IF(H105&lt;=4.4,"Average","Excellent"))</f>
        <v>Excellent</v>
      </c>
      <c r="K105" t="str">
        <f>IF(D105&lt;0.2,"Low Discount",IF(D105&lt;=0.4,"Medium Discount","High Discount"))</f>
        <v>Low Discount</v>
      </c>
    </row>
    <row r="106" spans="1:11" x14ac:dyDescent="0.25">
      <c r="A106" t="s">
        <v>128</v>
      </c>
      <c r="B106" s="5">
        <v>195</v>
      </c>
      <c r="C106" s="5">
        <v>1810</v>
      </c>
      <c r="D106" s="7">
        <v>0.02</v>
      </c>
      <c r="F106">
        <f>ABS(E106)</f>
        <v>0</v>
      </c>
      <c r="H106" t="str">
        <f>IFERROR(VALUE(LEFT(G106,FIND(" ",G106)-1)),"")</f>
        <v/>
      </c>
      <c r="I106" s="8">
        <f>C106 - B106</f>
        <v>1615</v>
      </c>
      <c r="J106" t="str">
        <f>IF(H106&lt;3,"Poor",IF(H106&lt;=4.4,"Average","Excellent"))</f>
        <v>Excellent</v>
      </c>
      <c r="K106" t="str">
        <f>IF(D106&lt;0.2,"Low Discount",IF(D106&lt;=0.4,"Medium Discount","High Discount"))</f>
        <v>Low Discount</v>
      </c>
    </row>
    <row r="107" spans="1:11" x14ac:dyDescent="0.25">
      <c r="A107" t="s">
        <v>129</v>
      </c>
      <c r="B107" s="5">
        <v>185</v>
      </c>
      <c r="C107" s="5">
        <v>1699</v>
      </c>
      <c r="D107" s="7">
        <v>0.02</v>
      </c>
      <c r="F107">
        <f>ABS(E107)</f>
        <v>0</v>
      </c>
      <c r="H107" t="str">
        <f>IFERROR(VALUE(LEFT(G107,FIND(" ",G107)-1)),"")</f>
        <v/>
      </c>
      <c r="I107" s="8">
        <f>C107 - B107</f>
        <v>1514</v>
      </c>
      <c r="J107" t="str">
        <f>IF(H107&lt;3,"Poor",IF(H107&lt;=4.4,"Average","Excellent"))</f>
        <v>Excellent</v>
      </c>
      <c r="K107" t="str">
        <f>IF(D107&lt;0.2,"Low Discount",IF(D107&lt;=0.4,"Medium Discount","High Discount"))</f>
        <v>Low Discount</v>
      </c>
    </row>
    <row r="108" spans="1:11" x14ac:dyDescent="0.25">
      <c r="A108" t="s">
        <v>130</v>
      </c>
      <c r="B108" s="5">
        <v>171</v>
      </c>
      <c r="C108" s="5">
        <v>1799</v>
      </c>
      <c r="D108" s="7">
        <v>0.02</v>
      </c>
      <c r="F108">
        <f>ABS(E108)</f>
        <v>0</v>
      </c>
      <c r="H108" t="str">
        <f>IFERROR(VALUE(LEFT(G108,FIND(" ",G108)-1)),"")</f>
        <v/>
      </c>
      <c r="I108" s="8">
        <f>C108 - B108</f>
        <v>1628</v>
      </c>
      <c r="J108" t="str">
        <f>IF(H108&lt;3,"Poor",IF(H108&lt;=4.4,"Average","Excellent"))</f>
        <v>Excellent</v>
      </c>
      <c r="K108" t="str">
        <f>IF(D108&lt;0.2,"Low Discount",IF(D108&lt;=0.4,"Medium Discount","High Discount"))</f>
        <v>Low Discount</v>
      </c>
    </row>
    <row r="109" spans="1:11" x14ac:dyDescent="0.25">
      <c r="A109" t="s">
        <v>131</v>
      </c>
      <c r="B109" s="5">
        <v>169</v>
      </c>
      <c r="C109" s="5">
        <v>553</v>
      </c>
      <c r="D109" s="7">
        <v>0.02</v>
      </c>
      <c r="F109">
        <f>ABS(E109)</f>
        <v>0</v>
      </c>
      <c r="H109" t="str">
        <f>IFERROR(VALUE(LEFT(G109,FIND(" ",G109)-1)),"")</f>
        <v/>
      </c>
      <c r="I109" s="8">
        <f>C109 - B109</f>
        <v>384</v>
      </c>
      <c r="J109" t="str">
        <f>IF(H109&lt;3,"Poor",IF(H109&lt;=4.4,"Average","Excellent"))</f>
        <v>Excellent</v>
      </c>
      <c r="K109" t="str">
        <f>IF(D109&lt;0.2,"Low Discount",IF(D109&lt;=0.4,"Medium Discount","High Discount"))</f>
        <v>Low Discount</v>
      </c>
    </row>
    <row r="110" spans="1:11" x14ac:dyDescent="0.25">
      <c r="A110" t="s">
        <v>134</v>
      </c>
      <c r="B110" s="5">
        <v>38</v>
      </c>
      <c r="C110" s="5">
        <v>320</v>
      </c>
      <c r="D110" s="7">
        <v>0.01</v>
      </c>
      <c r="F110">
        <f>ABS(E110)</f>
        <v>0</v>
      </c>
      <c r="H110" t="str">
        <f>IFERROR(VALUE(LEFT(G110,FIND(" ",G110)-1)),"")</f>
        <v/>
      </c>
      <c r="I110" s="8">
        <f>C110 - B110</f>
        <v>282</v>
      </c>
      <c r="J110" t="str">
        <f>IF(H110&lt;3,"Poor",IF(H110&lt;=4.4,"Average","Excellent"))</f>
        <v>Excellent</v>
      </c>
      <c r="K110" t="str">
        <f>IF(D110&lt;0.2,"Low Discount",IF(D110&lt;=0.4,"Medium Discount","High Discount"))</f>
        <v>Low Discount</v>
      </c>
    </row>
    <row r="111" spans="1:11" x14ac:dyDescent="0.25">
      <c r="B111"/>
      <c r="C111"/>
      <c r="D111"/>
    </row>
    <row r="112" spans="1:11" x14ac:dyDescent="0.25">
      <c r="B112"/>
      <c r="C112"/>
      <c r="D112"/>
    </row>
    <row r="113" customFormat="1" x14ac:dyDescent="0.25"/>
    <row r="114" customFormat="1" x14ac:dyDescent="0.25"/>
    <row r="115" customFormat="1" x14ac:dyDescent="0.25"/>
    <row r="116" customFormat="1" x14ac:dyDescent="0.25"/>
  </sheetData>
  <sortState xmlns:xlrd2="http://schemas.microsoft.com/office/spreadsheetml/2017/richdata2" ref="A2:K119">
    <sortCondition descending="1" ref="F1:F1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Dashboard</vt:lpstr>
      <vt:lpstr>Excel_jumia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Eddy Odhiambo</dc:creator>
  <cp:lastModifiedBy>Eddie Odhiambo</cp:lastModifiedBy>
  <dcterms:created xsi:type="dcterms:W3CDTF">2026-03-29T20:17:16Z</dcterms:created>
  <dcterms:modified xsi:type="dcterms:W3CDTF">2026-03-29T21:59:53Z</dcterms:modified>
</cp:coreProperties>
</file>